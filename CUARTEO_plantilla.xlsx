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Unidades compartidas\Programación de la producción\DOCUMENTACION\ANEXOS SENASA\2026\CUARTEO 2026\0010 OCTUBRE\"/>
    </mc:Choice>
  </mc:AlternateContent>
  <xr:revisionPtr revIDLastSave="0" documentId="13_ncr:1_{1E989AF7-9FB6-4066-940C-0379EC3EA33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D_AnexoIII" sheetId="1" r:id="rId1"/>
  </sheets>
  <definedNames>
    <definedName name="_xlnm.Print_Area" localSheetId="0">PD_AnexoIII!$B$1:$AB$40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7" i="1" l="1"/>
  <c r="I206" i="1"/>
  <c r="I205" i="1"/>
  <c r="I204" i="1"/>
  <c r="I203" i="1"/>
  <c r="I209" i="1" s="1"/>
  <c r="I198" i="1"/>
  <c r="I197" i="1"/>
  <c r="I196" i="1"/>
  <c r="I195" i="1"/>
  <c r="I194" i="1"/>
  <c r="I200" i="1" s="1"/>
  <c r="I189" i="1"/>
  <c r="I188" i="1"/>
  <c r="I187" i="1"/>
  <c r="I186" i="1"/>
  <c r="I185" i="1"/>
  <c r="I191" i="1" s="1"/>
  <c r="I179" i="1"/>
  <c r="I178" i="1"/>
  <c r="I177" i="1"/>
  <c r="I176" i="1"/>
  <c r="I175" i="1"/>
  <c r="I181" i="1" s="1"/>
  <c r="I173" i="1"/>
  <c r="I171" i="1"/>
  <c r="I170" i="1"/>
  <c r="I169" i="1"/>
  <c r="I168" i="1"/>
  <c r="I167" i="1"/>
  <c r="I163" i="1"/>
  <c r="I162" i="1"/>
  <c r="I165" i="1" s="1"/>
  <c r="I161" i="1"/>
  <c r="I160" i="1"/>
  <c r="I159" i="1"/>
  <c r="I155" i="1"/>
  <c r="I154" i="1"/>
  <c r="I153" i="1"/>
  <c r="I152" i="1"/>
  <c r="I157" i="1" s="1"/>
  <c r="I151" i="1"/>
  <c r="I147" i="1"/>
  <c r="I146" i="1"/>
  <c r="I145" i="1"/>
  <c r="I144" i="1"/>
  <c r="I143" i="1"/>
  <c r="I149" i="1" s="1"/>
  <c r="I139" i="1"/>
  <c r="I138" i="1"/>
  <c r="I137" i="1"/>
  <c r="I136" i="1"/>
  <c r="I141" i="1" s="1"/>
  <c r="I135" i="1"/>
  <c r="I131" i="1"/>
  <c r="I130" i="1"/>
  <c r="I129" i="1"/>
  <c r="I128" i="1"/>
  <c r="I133" i="1" s="1"/>
  <c r="I127" i="1"/>
  <c r="I122" i="1"/>
  <c r="I121" i="1"/>
  <c r="I120" i="1"/>
  <c r="I119" i="1"/>
  <c r="I124" i="1" s="1"/>
  <c r="I118" i="1"/>
  <c r="I116" i="1"/>
  <c r="I114" i="1"/>
  <c r="I113" i="1"/>
  <c r="I112" i="1"/>
  <c r="I111" i="1"/>
  <c r="I110" i="1"/>
  <c r="I106" i="1"/>
  <c r="I105" i="1"/>
  <c r="I108" i="1" s="1"/>
  <c r="I104" i="1"/>
  <c r="I103" i="1"/>
  <c r="I102" i="1"/>
  <c r="I98" i="1"/>
  <c r="I97" i="1"/>
  <c r="I96" i="1"/>
  <c r="I95" i="1"/>
  <c r="I100" i="1" s="1"/>
  <c r="I94" i="1"/>
  <c r="I90" i="1"/>
  <c r="I89" i="1"/>
  <c r="I88" i="1"/>
  <c r="I87" i="1"/>
  <c r="I92" i="1" s="1"/>
  <c r="I86" i="1"/>
  <c r="I83" i="1"/>
  <c r="I81" i="1"/>
  <c r="I80" i="1"/>
  <c r="I79" i="1"/>
  <c r="I78" i="1"/>
  <c r="I77" i="1"/>
  <c r="I73" i="1"/>
  <c r="I72" i="1"/>
  <c r="I75" i="1" s="1"/>
  <c r="I71" i="1"/>
  <c r="I70" i="1"/>
  <c r="I69" i="1"/>
  <c r="I65" i="1"/>
  <c r="I64" i="1"/>
  <c r="I63" i="1"/>
  <c r="I62" i="1"/>
  <c r="I67" i="1" s="1"/>
  <c r="I61" i="1"/>
  <c r="I57" i="1"/>
  <c r="I56" i="1"/>
  <c r="I55" i="1"/>
  <c r="I54" i="1"/>
  <c r="I59" i="1" s="1"/>
  <c r="I53" i="1"/>
  <c r="I51" i="1"/>
  <c r="I49" i="1"/>
  <c r="I48" i="1"/>
  <c r="I47" i="1"/>
  <c r="I46" i="1"/>
  <c r="I45" i="1"/>
</calcChain>
</file>

<file path=xl/sharedStrings.xml><?xml version="1.0" encoding="utf-8"?>
<sst xmlns="http://schemas.openxmlformats.org/spreadsheetml/2006/main" count="184" uniqueCount="49">
  <si>
    <t>DIRECCIÓN DE FISCALIZACIÓN DE PRODUCTOS DE ORIGEN ANIMAL</t>
  </si>
  <si>
    <r>
      <rPr>
        <b/>
        <sz val="11"/>
        <color rgb="FF000000"/>
        <rFont val="Calibri"/>
      </rPr>
      <t xml:space="preserve">ANEXO CUARTEO Y TROCEO  </t>
    </r>
    <r>
      <rPr>
        <b/>
        <sz val="10"/>
        <color rgb="FF000000"/>
        <rFont val="Calibri"/>
      </rPr>
      <t>(circular 3510 )</t>
    </r>
  </si>
  <si>
    <t>DECLARACION JURADA</t>
  </si>
  <si>
    <r>
      <rPr>
        <sz val="7"/>
        <color rgb="FF000000"/>
        <rFont val="Calibri"/>
      </rPr>
      <t xml:space="preserve">La presente planilla reviste el carácter de </t>
    </r>
    <r>
      <rPr>
        <b/>
        <sz val="7"/>
        <color rgb="FF000000"/>
        <rFont val="Calibri"/>
      </rPr>
      <t>Declaración Jurada</t>
    </r>
    <r>
      <rPr>
        <sz val="7"/>
        <color rgb="FF000000"/>
        <rFont val="Calibri"/>
      </rPr>
      <t xml:space="preserve"> y está sujeta al Artículo 293 Primera Parte del Código Penal.</t>
    </r>
  </si>
  <si>
    <t>Programa y produccion de cuarteo y/o troceo</t>
  </si>
  <si>
    <r>
      <rPr>
        <sz val="11"/>
        <color rgb="FF000000"/>
        <rFont val="Times New Roman"/>
      </rPr>
      <t xml:space="preserve">Fecha: Día </t>
    </r>
    <r>
      <rPr>
        <sz val="11"/>
        <color rgb="FF000000"/>
        <rFont val="Times New Roman"/>
      </rPr>
      <t>6</t>
    </r>
    <r>
      <rPr>
        <sz val="11"/>
        <color rgb="FF000000"/>
        <rFont val="Times New Roman"/>
      </rPr>
      <t xml:space="preserve"> Mes </t>
    </r>
    <r>
      <rPr>
        <sz val="11"/>
        <color rgb="FF000000"/>
        <rFont val="Times New Roman"/>
      </rPr>
      <t>10</t>
    </r>
    <r>
      <rPr>
        <sz val="11"/>
        <color rgb="FF000000"/>
        <rFont val="Times New Roman"/>
      </rPr>
      <t xml:space="preserve"> Año </t>
    </r>
    <r>
      <rPr>
        <sz val="11"/>
        <color rgb="FF000000"/>
        <rFont val="Times New Roman"/>
      </rPr>
      <t>2026</t>
    </r>
  </si>
  <si>
    <t>Estab. N° Of.5039. Frigorífico Azul Natural Beef S.A</t>
  </si>
  <si>
    <t>N° de Tropa</t>
  </si>
  <si>
    <t>Fecha de Faena</t>
  </si>
  <si>
    <t>Tipo de Materia Prima</t>
  </si>
  <si>
    <t>Kilogramos de Ingreso</t>
  </si>
  <si>
    <t>Cantidad de piezas solicitadas y autorizadas</t>
  </si>
  <si>
    <t>Observaciones</t>
  </si>
  <si>
    <t>15770</t>
  </si>
  <si>
    <t>MEDIA RES</t>
  </si>
  <si>
    <t>-</t>
  </si>
  <si>
    <t>15771</t>
  </si>
  <si>
    <t>15772</t>
  </si>
  <si>
    <t>15773</t>
  </si>
  <si>
    <t>15774</t>
  </si>
  <si>
    <t>7994</t>
  </si>
  <si>
    <t>7995</t>
  </si>
  <si>
    <t>7996</t>
  </si>
  <si>
    <t>7999</t>
  </si>
  <si>
    <t>8000</t>
  </si>
  <si>
    <t>8001</t>
  </si>
  <si>
    <t>8002</t>
  </si>
  <si>
    <t>8003</t>
  </si>
  <si>
    <t>8004</t>
  </si>
  <si>
    <t>8007</t>
  </si>
  <si>
    <t>8008</t>
  </si>
  <si>
    <t>8009</t>
  </si>
  <si>
    <t>8010</t>
  </si>
  <si>
    <t>8011</t>
  </si>
  <si>
    <t>8012</t>
  </si>
  <si>
    <t/>
  </si>
  <si>
    <t>TOTAL</t>
  </si>
  <si>
    <r>
      <rPr>
        <sz val="10"/>
        <color rgb="FF000000"/>
        <rFont val="Segoe UI"/>
      </rPr>
      <t xml:space="preserve">.....................................................
</t>
    </r>
    <r>
      <rPr>
        <sz val="7"/>
        <color rgb="FF000000"/>
        <rFont val="Segoe UI"/>
      </rPr>
      <t xml:space="preserve">Autorización Servicio de Inspección
</t>
    </r>
    <r>
      <rPr>
        <sz val="7"/>
        <color rgb="FF000000"/>
        <rFont val="Segoe UI"/>
      </rPr>
      <t>Veterinaria - Firma y sello aclaratorio</t>
    </r>
  </si>
  <si>
    <r>
      <rPr>
        <sz val="10"/>
        <color rgb="FF000000"/>
        <rFont val="Segoe UI"/>
      </rPr>
      <t xml:space="preserve">.....................................................
</t>
    </r>
    <r>
      <rPr>
        <sz val="7"/>
        <color rgb="FF000000"/>
        <rFont val="Segoe UI"/>
      </rPr>
      <t xml:space="preserve">Firma y sello aclaratorio
</t>
    </r>
    <r>
      <rPr>
        <sz val="7"/>
        <color rgb="FF000000"/>
        <rFont val="Segoe UI"/>
      </rPr>
      <t>Responsable de la empresa</t>
    </r>
  </si>
  <si>
    <t>TROPA</t>
  </si>
  <si>
    <t>MATERIA PRIMA</t>
  </si>
  <si>
    <t>CANTIDAD</t>
  </si>
  <si>
    <t>KILOGRAMOS</t>
  </si>
  <si>
    <r>
      <t>SERIE</t>
    </r>
    <r>
      <rPr>
        <b/>
        <sz val="11"/>
        <color rgb="FF000000"/>
        <rFont val="Calibri"/>
      </rPr>
      <t xml:space="preserve"> C</t>
    </r>
    <r>
      <rPr>
        <sz val="11"/>
        <color rgb="FF000000"/>
        <rFont val="Calibri"/>
      </rPr>
      <t> N° 2290</t>
    </r>
  </si>
  <si>
    <t>Asado CV</t>
  </si>
  <si>
    <t>Delantero SF</t>
  </si>
  <si>
    <t>Entraña Fina</t>
  </si>
  <si>
    <t>Falda</t>
  </si>
  <si>
    <t xml:space="preserve">Pistola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</si>
</sst>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dd/mm/yyyy"/>
  </numFmts>
  <fonts count="22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Times New Roman"/>
    </font>
    <font>
      <b/>
      <sz val="11"/>
      <color rgb="FF000000"/>
      <name val="Calibri"/>
    </font>
    <font>
      <sz val="11"/>
      <color rgb="FF000000"/>
      <name val="Calibri"/>
    </font>
    <font>
      <sz val="10"/>
      <color rgb="FFFF0000"/>
      <name val="Segoe UI"/>
    </font>
    <font>
      <sz val="14"/>
      <color rgb="FF000000"/>
      <name val="Calibri"/>
    </font>
    <font>
      <sz val="7"/>
      <color rgb="FF000000"/>
      <name val="Calibri"/>
    </font>
    <font>
      <b/>
      <i/>
      <sz val="12"/>
      <color rgb="FF000000"/>
      <name val="Times New Roman"/>
    </font>
    <font>
      <sz val="11"/>
      <color rgb="FF000000"/>
      <name val="Times New Roman"/>
    </font>
    <font>
      <b/>
      <sz val="8"/>
      <color rgb="FF666666"/>
      <name val="Segoe UI"/>
    </font>
    <font>
      <sz val="10"/>
      <color rgb="FF333333"/>
      <name val="Segoe UI"/>
    </font>
    <font>
      <b/>
      <sz val="10"/>
      <color rgb="FF333333"/>
      <name val="Segoe UI"/>
    </font>
    <font>
      <sz val="10"/>
      <color rgb="FF000000"/>
      <name val="Segoe UI"/>
    </font>
    <font>
      <b/>
      <sz val="10"/>
      <color rgb="FF000000"/>
      <name val="Calibri"/>
    </font>
    <font>
      <b/>
      <sz val="7"/>
      <color rgb="FF000000"/>
      <name val="Calibri"/>
    </font>
    <font>
      <sz val="7"/>
      <color rgb="FF000000"/>
      <name val="Segoe UI"/>
    </font>
    <font>
      <b/>
      <sz val="8"/>
      <color rgb="FF666666"/>
      <name val="Segoe UI"/>
      <family val="2"/>
    </font>
    <font>
      <b/>
      <sz val="12"/>
      <color rgb="FF333333"/>
      <name val="Segoe UI"/>
      <family val="2"/>
    </font>
    <font>
      <sz val="8"/>
      <color rgb="FF333333"/>
      <name val="Segoe UI"/>
      <family val="2"/>
    </font>
    <font>
      <sz val="11"/>
      <color theme="0"/>
      <name val="Calibri"/>
      <family val="2"/>
    </font>
    <font>
      <b/>
      <sz val="8"/>
      <color rgb="FF33333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1" fillId="0" borderId="0" xfId="0" applyFont="1"/>
    <xf numFmtId="0" fontId="10" fillId="2" borderId="1" xfId="0" applyFont="1" applyFill="1" applyBorder="1" applyAlignment="1">
      <alignment horizontal="center" vertical="center" wrapText="1" readingOrder="1"/>
    </xf>
    <xf numFmtId="0" fontId="11" fillId="2" borderId="1" xfId="0" applyFont="1" applyFill="1" applyBorder="1" applyAlignment="1">
      <alignment horizontal="center" vertical="top" wrapText="1" readingOrder="1"/>
    </xf>
    <xf numFmtId="0" fontId="1" fillId="0" borderId="0" xfId="0" applyFont="1"/>
    <xf numFmtId="0" fontId="2" fillId="0" borderId="0" xfId="0" applyFont="1" applyAlignment="1">
      <alignment horizontal="center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right" vertical="center" wrapText="1" readingOrder="1"/>
    </xf>
    <xf numFmtId="0" fontId="5" fillId="0" borderId="0" xfId="0" applyFont="1" applyAlignment="1">
      <alignment horizontal="left" vertical="center" wrapText="1" readingOrder="1"/>
    </xf>
    <xf numFmtId="0" fontId="6" fillId="0" borderId="0" xfId="0" applyFont="1" applyAlignment="1">
      <alignment horizontal="center" vertical="top" wrapText="1" readingOrder="1"/>
    </xf>
    <xf numFmtId="0" fontId="7" fillId="0" borderId="0" xfId="0" applyFont="1" applyAlignment="1">
      <alignment horizontal="center" vertical="top" wrapText="1" readingOrder="1"/>
    </xf>
    <xf numFmtId="0" fontId="8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center" vertical="center" wrapText="1" readingOrder="1"/>
    </xf>
    <xf numFmtId="0" fontId="10" fillId="2" borderId="1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1" fillId="2" borderId="1" xfId="0" applyFont="1" applyFill="1" applyBorder="1" applyAlignment="1">
      <alignment horizontal="center" vertical="top" wrapText="1" readingOrder="1"/>
    </xf>
    <xf numFmtId="164" fontId="11" fillId="2" borderId="1" xfId="0" applyNumberFormat="1" applyFont="1" applyFill="1" applyBorder="1" applyAlignment="1">
      <alignment horizontal="center" vertical="top" wrapText="1" readingOrder="1"/>
    </xf>
    <xf numFmtId="0" fontId="11" fillId="2" borderId="1" xfId="0" applyFont="1" applyFill="1" applyBorder="1" applyAlignment="1">
      <alignment horizontal="center" vertical="center" wrapText="1" readingOrder="1"/>
    </xf>
    <xf numFmtId="0" fontId="11" fillId="2" borderId="0" xfId="0" applyFont="1" applyFill="1" applyAlignment="1">
      <alignment horizontal="center" vertical="top" wrapText="1" readingOrder="1"/>
    </xf>
    <xf numFmtId="0" fontId="12" fillId="2" borderId="1" xfId="0" applyFont="1" applyFill="1" applyBorder="1" applyAlignment="1">
      <alignment horizontal="center" vertical="top" wrapText="1" readingOrder="1"/>
    </xf>
    <xf numFmtId="0" fontId="12" fillId="2" borderId="1" xfId="0" applyFont="1" applyFill="1" applyBorder="1" applyAlignment="1">
      <alignment horizontal="center" vertical="center" wrapText="1" readingOrder="1"/>
    </xf>
    <xf numFmtId="0" fontId="11" fillId="2" borderId="0" xfId="0" applyFont="1" applyFill="1" applyAlignment="1">
      <alignment horizontal="center" vertical="center" wrapText="1" readingOrder="1"/>
    </xf>
    <xf numFmtId="0" fontId="13" fillId="0" borderId="0" xfId="0" applyFont="1" applyAlignment="1">
      <alignment horizontal="center" vertical="top" wrapText="1" readingOrder="1"/>
    </xf>
    <xf numFmtId="0" fontId="17" fillId="3" borderId="4" xfId="0" applyFont="1" applyFill="1" applyBorder="1" applyAlignment="1">
      <alignment horizontal="left" vertical="center"/>
    </xf>
    <xf numFmtId="0" fontId="17" fillId="3" borderId="5" xfId="0" applyFont="1" applyFill="1" applyBorder="1" applyAlignment="1">
      <alignment horizontal="left" vertical="center"/>
    </xf>
    <xf numFmtId="0" fontId="17" fillId="3" borderId="5" xfId="0" applyFont="1" applyFill="1" applyBorder="1" applyAlignment="1">
      <alignment horizontal="center" vertical="center"/>
    </xf>
    <xf numFmtId="4" fontId="17" fillId="3" borderId="5" xfId="0" applyNumberFormat="1" applyFont="1" applyFill="1" applyBorder="1" applyAlignment="1">
      <alignment horizontal="right" vertical="center"/>
    </xf>
    <xf numFmtId="0" fontId="18" fillId="3" borderId="4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vertical="center"/>
    </xf>
    <xf numFmtId="0" fontId="19" fillId="3" borderId="5" xfId="0" applyFont="1" applyFill="1" applyBorder="1" applyAlignment="1">
      <alignment horizontal="center" vertical="center"/>
    </xf>
    <xf numFmtId="4" fontId="19" fillId="3" borderId="5" xfId="0" applyNumberFormat="1" applyFont="1" applyFill="1" applyBorder="1" applyAlignment="1">
      <alignment horizontal="right" vertical="center"/>
    </xf>
    <xf numFmtId="0" fontId="20" fillId="0" borderId="0" xfId="0" applyFont="1"/>
    <xf numFmtId="0" fontId="18" fillId="3" borderId="0" xfId="0" applyFont="1" applyFill="1" applyAlignment="1">
      <alignment horizontal="center" vertical="center"/>
    </xf>
    <xf numFmtId="0" fontId="19" fillId="3" borderId="7" xfId="0" applyFont="1" applyFill="1" applyBorder="1" applyAlignment="1">
      <alignment vertical="center"/>
    </xf>
    <xf numFmtId="0" fontId="19" fillId="3" borderId="0" xfId="0" applyFont="1" applyFill="1" applyAlignment="1">
      <alignment horizontal="center" vertical="center"/>
    </xf>
    <xf numFmtId="4" fontId="19" fillId="3" borderId="0" xfId="0" applyNumberFormat="1" applyFont="1" applyFill="1" applyAlignment="1">
      <alignment horizontal="right" vertical="center"/>
    </xf>
    <xf numFmtId="0" fontId="19" fillId="3" borderId="0" xfId="0" applyFont="1" applyFill="1" applyAlignment="1">
      <alignment horizontal="left" vertical="center"/>
    </xf>
    <xf numFmtId="0" fontId="21" fillId="3" borderId="0" xfId="0" applyFont="1" applyFill="1" applyAlignment="1">
      <alignment horizontal="center" vertical="center"/>
    </xf>
    <xf numFmtId="4" fontId="19" fillId="3" borderId="8" xfId="0" applyNumberFormat="1" applyFont="1" applyFill="1" applyBorder="1" applyAlignment="1">
      <alignment horizontal="right" vertical="center"/>
    </xf>
    <xf numFmtId="0" fontId="21" fillId="3" borderId="0" xfId="0" applyFont="1" applyFill="1" applyAlignment="1">
      <alignment horizontal="left" vertical="center"/>
    </xf>
    <xf numFmtId="0" fontId="19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FFFFFF"/>
      <rgbColor rgb="00666666"/>
      <rgbColor rgb="00333333"/>
      <rgbColor rgb="00D3D3D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22</xdr:col>
      <xdr:colOff>553910</xdr:colOff>
      <xdr:row>1</xdr:row>
      <xdr:rowOff>990600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209"/>
  <sheetViews>
    <sheetView showGridLines="0" tabSelected="1" topLeftCell="A39" workbookViewId="0">
      <selection activeCell="F44" sqref="F44:K210"/>
    </sheetView>
  </sheetViews>
  <sheetFormatPr baseColWidth="10" defaultRowHeight="15" x14ac:dyDescent="0.25"/>
  <cols>
    <col min="1" max="1" width="4.85546875" customWidth="1"/>
    <col min="2" max="2" width="1" customWidth="1"/>
    <col min="3" max="3" width="1.28515625" customWidth="1"/>
    <col min="4" max="4" width="0.140625" customWidth="1"/>
    <col min="5" max="5" width="2.5703125" customWidth="1"/>
    <col min="6" max="6" width="8.140625" customWidth="1"/>
    <col min="7" max="7" width="13.5703125" bestFit="1" customWidth="1"/>
    <col min="8" max="8" width="10.5703125" customWidth="1"/>
    <col min="9" max="9" width="11.28515625" bestFit="1" customWidth="1"/>
    <col min="10" max="10" width="7" customWidth="1"/>
    <col min="11" max="11" width="2.140625" customWidth="1"/>
    <col min="12" max="12" width="14" customWidth="1"/>
    <col min="13" max="13" width="3.28515625" customWidth="1"/>
    <col min="14" max="14" width="0" hidden="1" customWidth="1"/>
    <col min="15" max="15" width="3.85546875" customWidth="1"/>
    <col min="16" max="16" width="1.42578125" customWidth="1"/>
    <col min="17" max="17" width="10.42578125" customWidth="1"/>
    <col min="18" max="18" width="0" hidden="1" customWidth="1"/>
    <col min="19" max="19" width="3.42578125" customWidth="1"/>
    <col min="20" max="20" width="0" hidden="1" customWidth="1"/>
    <col min="21" max="21" width="2.140625" customWidth="1"/>
    <col min="22" max="22" width="0.5703125" customWidth="1"/>
    <col min="23" max="23" width="11.7109375" customWidth="1"/>
    <col min="24" max="24" width="0" hidden="1" customWidth="1"/>
    <col min="25" max="25" width="4" customWidth="1"/>
    <col min="26" max="26" width="0" hidden="1" customWidth="1"/>
    <col min="27" max="27" width="3.7109375" customWidth="1"/>
    <col min="28" max="28" width="6.140625" customWidth="1"/>
    <col min="29" max="29" width="0" hidden="1" customWidth="1"/>
    <col min="30" max="30" width="27.5703125" customWidth="1"/>
  </cols>
  <sheetData>
    <row r="1" spans="4:28" ht="5.25" customHeight="1" x14ac:dyDescent="0.25"/>
    <row r="2" spans="4:28" ht="78" customHeight="1" x14ac:dyDescent="0.25"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4:28" ht="15" customHeight="1" x14ac:dyDescent="0.25">
      <c r="D3" s="4" t="s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4:28" ht="17.25" customHeight="1" x14ac:dyDescent="0.25">
      <c r="E4" s="5" t="s">
        <v>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4:28" ht="0.95" customHeight="1" x14ac:dyDescent="0.25"/>
    <row r="6" spans="4:28" ht="23.25" customHeight="1" x14ac:dyDescent="0.25">
      <c r="P6" s="6" t="s">
        <v>43</v>
      </c>
      <c r="Q6" s="3"/>
      <c r="R6" s="3"/>
      <c r="S6" s="3"/>
      <c r="T6" s="3"/>
      <c r="U6" s="3"/>
      <c r="W6" s="7"/>
      <c r="X6" s="3"/>
      <c r="Y6" s="3"/>
      <c r="Z6" s="3"/>
      <c r="AA6" s="3"/>
    </row>
    <row r="7" spans="4:28" ht="6.6" customHeight="1" x14ac:dyDescent="0.25"/>
    <row r="8" spans="4:28" ht="20.85" customHeight="1" x14ac:dyDescent="0.25">
      <c r="D8" s="8" t="s">
        <v>2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4:28" ht="1.7" customHeight="1" x14ac:dyDescent="0.25"/>
    <row r="10" spans="4:28" ht="14.25" customHeight="1" x14ac:dyDescent="0.25">
      <c r="E10" s="9" t="s">
        <v>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4:28" ht="0.75" customHeight="1" x14ac:dyDescent="0.25"/>
    <row r="12" spans="4:28" ht="18.75" customHeight="1" x14ac:dyDescent="0.25">
      <c r="D12" s="10" t="s">
        <v>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4:28" ht="3" customHeight="1" x14ac:dyDescent="0.25"/>
    <row r="14" spans="4:28" x14ac:dyDescent="0.25">
      <c r="O14" s="11" t="s">
        <v>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4:28" x14ac:dyDescent="0.25">
      <c r="E15" s="11" t="s">
        <v>6</v>
      </c>
      <c r="F15" s="3"/>
      <c r="G15" s="3"/>
      <c r="H15" s="3"/>
      <c r="I15" s="3"/>
      <c r="J15" s="3"/>
      <c r="K15" s="3"/>
      <c r="L15" s="3"/>
      <c r="M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4:28" ht="26.25" customHeight="1" x14ac:dyDescent="0.25"/>
    <row r="17" spans="3:23" ht="21" x14ac:dyDescent="0.25">
      <c r="C17" s="12" t="s">
        <v>7</v>
      </c>
      <c r="D17" s="13"/>
      <c r="E17" s="13"/>
      <c r="F17" s="14"/>
      <c r="G17" s="12" t="s">
        <v>8</v>
      </c>
      <c r="H17" s="14"/>
      <c r="I17" s="12" t="s">
        <v>9</v>
      </c>
      <c r="J17" s="13"/>
      <c r="K17" s="14"/>
      <c r="L17" s="1" t="s">
        <v>10</v>
      </c>
      <c r="M17" s="12" t="s">
        <v>11</v>
      </c>
      <c r="N17" s="13"/>
      <c r="O17" s="13"/>
      <c r="P17" s="13"/>
      <c r="Q17" s="14"/>
      <c r="S17" s="12" t="s">
        <v>12</v>
      </c>
      <c r="T17" s="13"/>
      <c r="U17" s="13"/>
      <c r="V17" s="13"/>
      <c r="W17" s="14"/>
    </row>
    <row r="18" spans="3:23" x14ac:dyDescent="0.25">
      <c r="C18" s="15" t="s">
        <v>13</v>
      </c>
      <c r="D18" s="13"/>
      <c r="E18" s="13"/>
      <c r="F18" s="14"/>
      <c r="G18" s="16">
        <v>46300</v>
      </c>
      <c r="H18" s="14"/>
      <c r="I18" s="15" t="s">
        <v>14</v>
      </c>
      <c r="J18" s="13"/>
      <c r="K18" s="14"/>
      <c r="L18" s="2">
        <v>10820</v>
      </c>
      <c r="M18" s="17">
        <v>72</v>
      </c>
      <c r="N18" s="13"/>
      <c r="O18" s="13"/>
      <c r="P18" s="13"/>
      <c r="Q18" s="14"/>
      <c r="S18" s="17" t="s">
        <v>15</v>
      </c>
      <c r="T18" s="13"/>
      <c r="U18" s="13"/>
      <c r="V18" s="13"/>
      <c r="W18" s="14"/>
    </row>
    <row r="19" spans="3:23" x14ac:dyDescent="0.25">
      <c r="C19" s="15" t="s">
        <v>16</v>
      </c>
      <c r="D19" s="13"/>
      <c r="E19" s="13"/>
      <c r="F19" s="14"/>
      <c r="G19" s="16">
        <v>46300</v>
      </c>
      <c r="H19" s="14"/>
      <c r="I19" s="15" t="s">
        <v>14</v>
      </c>
      <c r="J19" s="13"/>
      <c r="K19" s="14"/>
      <c r="L19" s="2">
        <v>10917</v>
      </c>
      <c r="M19" s="17">
        <v>72</v>
      </c>
      <c r="N19" s="13"/>
      <c r="O19" s="13"/>
      <c r="P19" s="13"/>
      <c r="Q19" s="14"/>
      <c r="S19" s="17" t="s">
        <v>15</v>
      </c>
      <c r="T19" s="13"/>
      <c r="U19" s="13"/>
      <c r="V19" s="13"/>
      <c r="W19" s="14"/>
    </row>
    <row r="20" spans="3:23" x14ac:dyDescent="0.25">
      <c r="C20" s="15" t="s">
        <v>17</v>
      </c>
      <c r="D20" s="13"/>
      <c r="E20" s="13"/>
      <c r="F20" s="14"/>
      <c r="G20" s="16">
        <v>46300</v>
      </c>
      <c r="H20" s="14"/>
      <c r="I20" s="15" t="s">
        <v>14</v>
      </c>
      <c r="J20" s="13"/>
      <c r="K20" s="14"/>
      <c r="L20" s="2">
        <v>20686</v>
      </c>
      <c r="M20" s="17">
        <v>118</v>
      </c>
      <c r="N20" s="13"/>
      <c r="O20" s="13"/>
      <c r="P20" s="13"/>
      <c r="Q20" s="14"/>
      <c r="S20" s="17" t="s">
        <v>15</v>
      </c>
      <c r="T20" s="13"/>
      <c r="U20" s="13"/>
      <c r="V20" s="13"/>
      <c r="W20" s="14"/>
    </row>
    <row r="21" spans="3:23" x14ac:dyDescent="0.25">
      <c r="C21" s="15" t="s">
        <v>18</v>
      </c>
      <c r="D21" s="13"/>
      <c r="E21" s="13"/>
      <c r="F21" s="14"/>
      <c r="G21" s="16">
        <v>46300</v>
      </c>
      <c r="H21" s="14"/>
      <c r="I21" s="15" t="s">
        <v>14</v>
      </c>
      <c r="J21" s="13"/>
      <c r="K21" s="14"/>
      <c r="L21" s="2">
        <v>20641</v>
      </c>
      <c r="M21" s="17">
        <v>118</v>
      </c>
      <c r="N21" s="13"/>
      <c r="O21" s="13"/>
      <c r="P21" s="13"/>
      <c r="Q21" s="14"/>
      <c r="S21" s="17" t="s">
        <v>15</v>
      </c>
      <c r="T21" s="13"/>
      <c r="U21" s="13"/>
      <c r="V21" s="13"/>
      <c r="W21" s="14"/>
    </row>
    <row r="22" spans="3:23" x14ac:dyDescent="0.25">
      <c r="C22" s="15" t="s">
        <v>19</v>
      </c>
      <c r="D22" s="13"/>
      <c r="E22" s="13"/>
      <c r="F22" s="14"/>
      <c r="G22" s="16">
        <v>46300</v>
      </c>
      <c r="H22" s="14"/>
      <c r="I22" s="15" t="s">
        <v>14</v>
      </c>
      <c r="J22" s="13"/>
      <c r="K22" s="14"/>
      <c r="L22" s="2">
        <v>9579</v>
      </c>
      <c r="M22" s="17">
        <v>66</v>
      </c>
      <c r="N22" s="13"/>
      <c r="O22" s="13"/>
      <c r="P22" s="13"/>
      <c r="Q22" s="14"/>
      <c r="S22" s="17" t="s">
        <v>15</v>
      </c>
      <c r="T22" s="13"/>
      <c r="U22" s="13"/>
      <c r="V22" s="13"/>
      <c r="W22" s="14"/>
    </row>
    <row r="23" spans="3:23" x14ac:dyDescent="0.25">
      <c r="C23" s="15" t="s">
        <v>20</v>
      </c>
      <c r="D23" s="13"/>
      <c r="E23" s="13"/>
      <c r="F23" s="14"/>
      <c r="G23" s="16">
        <v>46300</v>
      </c>
      <c r="H23" s="14"/>
      <c r="I23" s="15" t="s">
        <v>14</v>
      </c>
      <c r="J23" s="13"/>
      <c r="K23" s="14"/>
      <c r="L23" s="2">
        <v>9953</v>
      </c>
      <c r="M23" s="17">
        <v>68</v>
      </c>
      <c r="N23" s="13"/>
      <c r="O23" s="13"/>
      <c r="P23" s="13"/>
      <c r="Q23" s="14"/>
      <c r="S23" s="17" t="s">
        <v>15</v>
      </c>
      <c r="T23" s="13"/>
      <c r="U23" s="13"/>
      <c r="V23" s="13"/>
      <c r="W23" s="14"/>
    </row>
    <row r="24" spans="3:23" x14ac:dyDescent="0.25">
      <c r="C24" s="15" t="s">
        <v>21</v>
      </c>
      <c r="D24" s="13"/>
      <c r="E24" s="13"/>
      <c r="F24" s="14"/>
      <c r="G24" s="16">
        <v>46300</v>
      </c>
      <c r="H24" s="14"/>
      <c r="I24" s="15" t="s">
        <v>14</v>
      </c>
      <c r="J24" s="13"/>
      <c r="K24" s="14"/>
      <c r="L24" s="2">
        <v>10055</v>
      </c>
      <c r="M24" s="17">
        <v>68</v>
      </c>
      <c r="N24" s="13"/>
      <c r="O24" s="13"/>
      <c r="P24" s="13"/>
      <c r="Q24" s="14"/>
      <c r="S24" s="17" t="s">
        <v>15</v>
      </c>
      <c r="T24" s="13"/>
      <c r="U24" s="13"/>
      <c r="V24" s="13"/>
      <c r="W24" s="14"/>
    </row>
    <row r="25" spans="3:23" x14ac:dyDescent="0.25">
      <c r="C25" s="15" t="s">
        <v>22</v>
      </c>
      <c r="D25" s="13"/>
      <c r="E25" s="13"/>
      <c r="F25" s="14"/>
      <c r="G25" s="16">
        <v>46300</v>
      </c>
      <c r="H25" s="14"/>
      <c r="I25" s="15" t="s">
        <v>14</v>
      </c>
      <c r="J25" s="13"/>
      <c r="K25" s="14"/>
      <c r="L25" s="2">
        <v>9522</v>
      </c>
      <c r="M25" s="17">
        <v>68</v>
      </c>
      <c r="N25" s="13"/>
      <c r="O25" s="13"/>
      <c r="P25" s="13"/>
      <c r="Q25" s="14"/>
      <c r="S25" s="17" t="s">
        <v>15</v>
      </c>
      <c r="T25" s="13"/>
      <c r="U25" s="13"/>
      <c r="V25" s="13"/>
      <c r="W25" s="14"/>
    </row>
    <row r="26" spans="3:23" x14ac:dyDescent="0.25">
      <c r="C26" s="15" t="s">
        <v>23</v>
      </c>
      <c r="D26" s="13"/>
      <c r="E26" s="13"/>
      <c r="F26" s="14"/>
      <c r="G26" s="16">
        <v>46300</v>
      </c>
      <c r="H26" s="14"/>
      <c r="I26" s="15" t="s">
        <v>14</v>
      </c>
      <c r="J26" s="13"/>
      <c r="K26" s="14"/>
      <c r="L26" s="2">
        <v>14021</v>
      </c>
      <c r="M26" s="17">
        <v>90</v>
      </c>
      <c r="N26" s="13"/>
      <c r="O26" s="13"/>
      <c r="P26" s="13"/>
      <c r="Q26" s="14"/>
      <c r="S26" s="17" t="s">
        <v>15</v>
      </c>
      <c r="T26" s="13"/>
      <c r="U26" s="13"/>
      <c r="V26" s="13"/>
      <c r="W26" s="14"/>
    </row>
    <row r="27" spans="3:23" x14ac:dyDescent="0.25">
      <c r="C27" s="15" t="s">
        <v>24</v>
      </c>
      <c r="D27" s="13"/>
      <c r="E27" s="13"/>
      <c r="F27" s="14"/>
      <c r="G27" s="16">
        <v>46300</v>
      </c>
      <c r="H27" s="14"/>
      <c r="I27" s="15" t="s">
        <v>14</v>
      </c>
      <c r="J27" s="13"/>
      <c r="K27" s="14"/>
      <c r="L27" s="2">
        <v>10540</v>
      </c>
      <c r="M27" s="17">
        <v>68</v>
      </c>
      <c r="N27" s="13"/>
      <c r="O27" s="13"/>
      <c r="P27" s="13"/>
      <c r="Q27" s="14"/>
      <c r="S27" s="17" t="s">
        <v>15</v>
      </c>
      <c r="T27" s="13"/>
      <c r="U27" s="13"/>
      <c r="V27" s="13"/>
      <c r="W27" s="14"/>
    </row>
    <row r="28" spans="3:23" x14ac:dyDescent="0.25">
      <c r="C28" s="15" t="s">
        <v>25</v>
      </c>
      <c r="D28" s="13"/>
      <c r="E28" s="13"/>
      <c r="F28" s="14"/>
      <c r="G28" s="16">
        <v>46300</v>
      </c>
      <c r="H28" s="14"/>
      <c r="I28" s="15" t="s">
        <v>14</v>
      </c>
      <c r="J28" s="13"/>
      <c r="K28" s="14"/>
      <c r="L28" s="2">
        <v>13355</v>
      </c>
      <c r="M28" s="17">
        <v>90</v>
      </c>
      <c r="N28" s="13"/>
      <c r="O28" s="13"/>
      <c r="P28" s="13"/>
      <c r="Q28" s="14"/>
      <c r="S28" s="17" t="s">
        <v>15</v>
      </c>
      <c r="T28" s="13"/>
      <c r="U28" s="13"/>
      <c r="V28" s="13"/>
      <c r="W28" s="14"/>
    </row>
    <row r="29" spans="3:23" x14ac:dyDescent="0.25">
      <c r="C29" s="15" t="s">
        <v>26</v>
      </c>
      <c r="D29" s="13"/>
      <c r="E29" s="13"/>
      <c r="F29" s="14"/>
      <c r="G29" s="16">
        <v>46300</v>
      </c>
      <c r="H29" s="14"/>
      <c r="I29" s="15" t="s">
        <v>14</v>
      </c>
      <c r="J29" s="13"/>
      <c r="K29" s="14"/>
      <c r="L29" s="2">
        <v>13822</v>
      </c>
      <c r="M29" s="17">
        <v>90</v>
      </c>
      <c r="N29" s="13"/>
      <c r="O29" s="13"/>
      <c r="P29" s="13"/>
      <c r="Q29" s="14"/>
      <c r="S29" s="17" t="s">
        <v>15</v>
      </c>
      <c r="T29" s="13"/>
      <c r="U29" s="13"/>
      <c r="V29" s="13"/>
      <c r="W29" s="14"/>
    </row>
    <row r="30" spans="3:23" x14ac:dyDescent="0.25">
      <c r="C30" s="15" t="s">
        <v>27</v>
      </c>
      <c r="D30" s="13"/>
      <c r="E30" s="13"/>
      <c r="F30" s="14"/>
      <c r="G30" s="16">
        <v>46300</v>
      </c>
      <c r="H30" s="14"/>
      <c r="I30" s="15" t="s">
        <v>14</v>
      </c>
      <c r="J30" s="13"/>
      <c r="K30" s="14"/>
      <c r="L30" s="2">
        <v>9331</v>
      </c>
      <c r="M30" s="17">
        <v>60</v>
      </c>
      <c r="N30" s="13"/>
      <c r="O30" s="13"/>
      <c r="P30" s="13"/>
      <c r="Q30" s="14"/>
      <c r="S30" s="17" t="s">
        <v>15</v>
      </c>
      <c r="T30" s="13"/>
      <c r="U30" s="13"/>
      <c r="V30" s="13"/>
      <c r="W30" s="14"/>
    </row>
    <row r="31" spans="3:23" x14ac:dyDescent="0.25">
      <c r="C31" s="15" t="s">
        <v>28</v>
      </c>
      <c r="D31" s="13"/>
      <c r="E31" s="13"/>
      <c r="F31" s="14"/>
      <c r="G31" s="16">
        <v>46300</v>
      </c>
      <c r="H31" s="14"/>
      <c r="I31" s="15" t="s">
        <v>14</v>
      </c>
      <c r="J31" s="13"/>
      <c r="K31" s="14"/>
      <c r="L31" s="2">
        <v>9548</v>
      </c>
      <c r="M31" s="17">
        <v>60</v>
      </c>
      <c r="N31" s="13"/>
      <c r="O31" s="13"/>
      <c r="P31" s="13"/>
      <c r="Q31" s="14"/>
      <c r="S31" s="17" t="s">
        <v>15</v>
      </c>
      <c r="T31" s="13"/>
      <c r="U31" s="13"/>
      <c r="V31" s="13"/>
      <c r="W31" s="14"/>
    </row>
    <row r="32" spans="3:23" x14ac:dyDescent="0.25">
      <c r="C32" s="15" t="s">
        <v>29</v>
      </c>
      <c r="D32" s="13"/>
      <c r="E32" s="13"/>
      <c r="F32" s="14"/>
      <c r="G32" s="16">
        <v>46300</v>
      </c>
      <c r="H32" s="14"/>
      <c r="I32" s="15" t="s">
        <v>14</v>
      </c>
      <c r="J32" s="13"/>
      <c r="K32" s="14"/>
      <c r="L32" s="2">
        <v>15349</v>
      </c>
      <c r="M32" s="17">
        <v>100</v>
      </c>
      <c r="N32" s="13"/>
      <c r="O32" s="13"/>
      <c r="P32" s="13"/>
      <c r="Q32" s="14"/>
      <c r="S32" s="17" t="s">
        <v>15</v>
      </c>
      <c r="T32" s="13"/>
      <c r="U32" s="13"/>
      <c r="V32" s="13"/>
      <c r="W32" s="14"/>
    </row>
    <row r="33" spans="2:25" x14ac:dyDescent="0.25">
      <c r="C33" s="15" t="s">
        <v>30</v>
      </c>
      <c r="D33" s="13"/>
      <c r="E33" s="13"/>
      <c r="F33" s="14"/>
      <c r="G33" s="16">
        <v>46300</v>
      </c>
      <c r="H33" s="14"/>
      <c r="I33" s="15" t="s">
        <v>14</v>
      </c>
      <c r="J33" s="13"/>
      <c r="K33" s="14"/>
      <c r="L33" s="2">
        <v>16263</v>
      </c>
      <c r="M33" s="17">
        <v>112</v>
      </c>
      <c r="N33" s="13"/>
      <c r="O33" s="13"/>
      <c r="P33" s="13"/>
      <c r="Q33" s="14"/>
      <c r="S33" s="17" t="s">
        <v>15</v>
      </c>
      <c r="T33" s="13"/>
      <c r="U33" s="13"/>
      <c r="V33" s="13"/>
      <c r="W33" s="14"/>
    </row>
    <row r="34" spans="2:25" x14ac:dyDescent="0.25">
      <c r="C34" s="15" t="s">
        <v>31</v>
      </c>
      <c r="D34" s="13"/>
      <c r="E34" s="13"/>
      <c r="F34" s="14"/>
      <c r="G34" s="16">
        <v>46300</v>
      </c>
      <c r="H34" s="14"/>
      <c r="I34" s="15" t="s">
        <v>14</v>
      </c>
      <c r="J34" s="13"/>
      <c r="K34" s="14"/>
      <c r="L34" s="2">
        <v>17198</v>
      </c>
      <c r="M34" s="17">
        <v>108</v>
      </c>
      <c r="N34" s="13"/>
      <c r="O34" s="13"/>
      <c r="P34" s="13"/>
      <c r="Q34" s="14"/>
      <c r="S34" s="17" t="s">
        <v>15</v>
      </c>
      <c r="T34" s="13"/>
      <c r="U34" s="13"/>
      <c r="V34" s="13"/>
      <c r="W34" s="14"/>
    </row>
    <row r="35" spans="2:25" x14ac:dyDescent="0.25">
      <c r="C35" s="15" t="s">
        <v>32</v>
      </c>
      <c r="D35" s="13"/>
      <c r="E35" s="13"/>
      <c r="F35" s="14"/>
      <c r="G35" s="16">
        <v>46300</v>
      </c>
      <c r="H35" s="14"/>
      <c r="I35" s="15" t="s">
        <v>14</v>
      </c>
      <c r="J35" s="13"/>
      <c r="K35" s="14"/>
      <c r="L35" s="2">
        <v>14226</v>
      </c>
      <c r="M35" s="17">
        <v>90</v>
      </c>
      <c r="N35" s="13"/>
      <c r="O35" s="13"/>
      <c r="P35" s="13"/>
      <c r="Q35" s="14"/>
      <c r="S35" s="17" t="s">
        <v>15</v>
      </c>
      <c r="T35" s="13"/>
      <c r="U35" s="13"/>
      <c r="V35" s="13"/>
      <c r="W35" s="14"/>
    </row>
    <row r="36" spans="2:25" x14ac:dyDescent="0.25">
      <c r="C36" s="15" t="s">
        <v>33</v>
      </c>
      <c r="D36" s="13"/>
      <c r="E36" s="13"/>
      <c r="F36" s="14"/>
      <c r="G36" s="16">
        <v>46300</v>
      </c>
      <c r="H36" s="14"/>
      <c r="I36" s="15" t="s">
        <v>14</v>
      </c>
      <c r="J36" s="13"/>
      <c r="K36" s="14"/>
      <c r="L36" s="2">
        <v>14945</v>
      </c>
      <c r="M36" s="17">
        <v>100</v>
      </c>
      <c r="N36" s="13"/>
      <c r="O36" s="13"/>
      <c r="P36" s="13"/>
      <c r="Q36" s="14"/>
      <c r="S36" s="17" t="s">
        <v>15</v>
      </c>
      <c r="T36" s="13"/>
      <c r="U36" s="13"/>
      <c r="V36" s="13"/>
      <c r="W36" s="14"/>
    </row>
    <row r="37" spans="2:25" x14ac:dyDescent="0.25">
      <c r="C37" s="15" t="s">
        <v>34</v>
      </c>
      <c r="D37" s="13"/>
      <c r="E37" s="13"/>
      <c r="F37" s="14"/>
      <c r="G37" s="16">
        <v>46300</v>
      </c>
      <c r="H37" s="14"/>
      <c r="I37" s="15" t="s">
        <v>14</v>
      </c>
      <c r="J37" s="13"/>
      <c r="K37" s="14"/>
      <c r="L37" s="2">
        <v>15253</v>
      </c>
      <c r="M37" s="17">
        <v>100</v>
      </c>
      <c r="N37" s="13"/>
      <c r="O37" s="13"/>
      <c r="P37" s="13"/>
      <c r="Q37" s="14"/>
      <c r="S37" s="17" t="s">
        <v>15</v>
      </c>
      <c r="T37" s="13"/>
      <c r="U37" s="13"/>
      <c r="V37" s="13"/>
      <c r="W37" s="14"/>
    </row>
    <row r="38" spans="2:25" ht="17.100000000000001" customHeight="1" x14ac:dyDescent="0.25">
      <c r="C38" s="18" t="s">
        <v>35</v>
      </c>
      <c r="D38" s="3"/>
      <c r="E38" s="3"/>
      <c r="F38" s="3"/>
      <c r="G38" s="18" t="s">
        <v>35</v>
      </c>
      <c r="H38" s="3"/>
      <c r="I38" s="19" t="s">
        <v>36</v>
      </c>
      <c r="J38" s="13"/>
      <c r="K38" s="13"/>
      <c r="L38" s="14"/>
      <c r="M38" s="20">
        <v>1718</v>
      </c>
      <c r="N38" s="13"/>
      <c r="O38" s="13"/>
      <c r="P38" s="13"/>
      <c r="Q38" s="14"/>
      <c r="S38" s="21" t="s">
        <v>35</v>
      </c>
      <c r="T38" s="3"/>
      <c r="U38" s="3"/>
      <c r="V38" s="3"/>
      <c r="W38" s="3"/>
    </row>
    <row r="39" spans="2:25" ht="80.650000000000006" customHeight="1" x14ac:dyDescent="0.25"/>
    <row r="40" spans="2:25" ht="35.85" customHeight="1" x14ac:dyDescent="0.25">
      <c r="B40" s="22" t="s">
        <v>37</v>
      </c>
      <c r="C40" s="3"/>
      <c r="D40" s="3"/>
      <c r="E40" s="3"/>
      <c r="F40" s="3"/>
      <c r="G40" s="3"/>
      <c r="H40" s="3"/>
      <c r="I40" s="3"/>
      <c r="Q40" s="22" t="s">
        <v>38</v>
      </c>
      <c r="R40" s="3"/>
      <c r="S40" s="3"/>
      <c r="T40" s="3"/>
      <c r="U40" s="3"/>
      <c r="V40" s="3"/>
      <c r="W40" s="3"/>
      <c r="X40" s="3"/>
      <c r="Y40" s="3"/>
    </row>
    <row r="41" spans="2:25" ht="87.4" customHeight="1" x14ac:dyDescent="0.25"/>
    <row r="44" spans="2:25" x14ac:dyDescent="0.25">
      <c r="F44" s="23" t="s">
        <v>39</v>
      </c>
      <c r="G44" s="24" t="s">
        <v>40</v>
      </c>
      <c r="H44" s="25" t="s">
        <v>41</v>
      </c>
      <c r="I44" s="26" t="s">
        <v>42</v>
      </c>
    </row>
    <row r="45" spans="2:25" ht="17.25" x14ac:dyDescent="0.25">
      <c r="F45" s="27">
        <v>15770</v>
      </c>
      <c r="G45" s="28" t="s">
        <v>44</v>
      </c>
      <c r="H45" s="29">
        <v>72</v>
      </c>
      <c r="I45" s="30">
        <f>H45*J45</f>
        <v>1008</v>
      </c>
      <c r="J45" s="31">
        <v>14</v>
      </c>
    </row>
    <row r="46" spans="2:25" ht="17.25" x14ac:dyDescent="0.25">
      <c r="F46" s="32"/>
      <c r="G46" s="33" t="s">
        <v>45</v>
      </c>
      <c r="H46" s="29">
        <v>72</v>
      </c>
      <c r="I46" s="30">
        <f t="shared" ref="I46:I49" si="0">J46*H46</f>
        <v>4525.2</v>
      </c>
      <c r="J46" s="31">
        <v>62.85</v>
      </c>
    </row>
    <row r="47" spans="2:25" ht="17.25" x14ac:dyDescent="0.25">
      <c r="F47" s="32"/>
      <c r="G47" s="33" t="s">
        <v>46</v>
      </c>
      <c r="H47" s="29">
        <v>72</v>
      </c>
      <c r="I47" s="30">
        <f t="shared" si="0"/>
        <v>58.04</v>
      </c>
      <c r="J47" s="31">
        <v>0.80611111111111111</v>
      </c>
    </row>
    <row r="48" spans="2:25" ht="17.25" x14ac:dyDescent="0.25">
      <c r="F48" s="32"/>
      <c r="G48" s="33" t="s">
        <v>47</v>
      </c>
      <c r="H48" s="29">
        <v>72</v>
      </c>
      <c r="I48" s="30">
        <f t="shared" si="0"/>
        <v>677.36</v>
      </c>
      <c r="J48" s="31">
        <v>9.4077777777777776</v>
      </c>
    </row>
    <row r="49" spans="6:10" ht="17.25" x14ac:dyDescent="0.25">
      <c r="F49" s="32"/>
      <c r="G49" s="33" t="s">
        <v>48</v>
      </c>
      <c r="H49" s="29">
        <v>72</v>
      </c>
      <c r="I49" s="30">
        <f t="shared" si="0"/>
        <v>4161.2914285714287</v>
      </c>
      <c r="J49" s="31">
        <v>57.795714285714283</v>
      </c>
    </row>
    <row r="50" spans="6:10" ht="17.25" x14ac:dyDescent="0.25">
      <c r="F50" s="32"/>
      <c r="G50" s="34"/>
      <c r="H50" s="34"/>
      <c r="I50" s="35"/>
    </row>
    <row r="51" spans="6:10" ht="17.25" x14ac:dyDescent="0.25">
      <c r="F51" s="32"/>
      <c r="G51" s="36"/>
      <c r="H51" s="37"/>
      <c r="I51" s="38">
        <f>SUM(I45:I50)</f>
        <v>10429.891428571427</v>
      </c>
    </row>
    <row r="52" spans="6:10" ht="17.25" x14ac:dyDescent="0.25">
      <c r="F52" s="32"/>
      <c r="G52" s="34"/>
      <c r="H52" s="39"/>
      <c r="I52" s="35"/>
    </row>
    <row r="53" spans="6:10" ht="17.25" x14ac:dyDescent="0.25">
      <c r="F53" s="27">
        <v>15771</v>
      </c>
      <c r="G53" s="28" t="s">
        <v>44</v>
      </c>
      <c r="H53" s="29">
        <v>72</v>
      </c>
      <c r="I53" s="30">
        <f>H53*J53</f>
        <v>1008</v>
      </c>
      <c r="J53" s="31">
        <v>14</v>
      </c>
    </row>
    <row r="54" spans="6:10" ht="17.25" x14ac:dyDescent="0.25">
      <c r="F54" s="32"/>
      <c r="G54" s="33" t="s">
        <v>45</v>
      </c>
      <c r="H54" s="29">
        <v>72</v>
      </c>
      <c r="I54" s="30">
        <f t="shared" ref="I54:I56" si="1">H54*J54</f>
        <v>4525.2</v>
      </c>
      <c r="J54" s="31">
        <v>62.85</v>
      </c>
    </row>
    <row r="55" spans="6:10" ht="17.25" x14ac:dyDescent="0.25">
      <c r="F55" s="32"/>
      <c r="G55" s="33" t="s">
        <v>46</v>
      </c>
      <c r="H55" s="29">
        <v>72</v>
      </c>
      <c r="I55" s="30">
        <f t="shared" si="1"/>
        <v>58.04</v>
      </c>
      <c r="J55" s="31">
        <v>0.80611111111111111</v>
      </c>
    </row>
    <row r="56" spans="6:10" ht="17.25" x14ac:dyDescent="0.25">
      <c r="F56" s="32"/>
      <c r="G56" s="33" t="s">
        <v>47</v>
      </c>
      <c r="H56" s="29">
        <v>72</v>
      </c>
      <c r="I56" s="30">
        <f t="shared" si="1"/>
        <v>677.36</v>
      </c>
      <c r="J56" s="31">
        <v>9.4077777777777776</v>
      </c>
    </row>
    <row r="57" spans="6:10" ht="17.25" x14ac:dyDescent="0.25">
      <c r="F57" s="32"/>
      <c r="G57" s="33" t="s">
        <v>48</v>
      </c>
      <c r="H57" s="29">
        <v>72</v>
      </c>
      <c r="I57" s="30">
        <f t="shared" ref="I57" si="2">J57*H57</f>
        <v>4161.2914285714287</v>
      </c>
      <c r="J57" s="31">
        <v>57.795714285714283</v>
      </c>
    </row>
    <row r="58" spans="6:10" ht="17.25" x14ac:dyDescent="0.25">
      <c r="F58" s="32"/>
      <c r="G58" s="34"/>
      <c r="H58" s="34"/>
      <c r="I58" s="35"/>
    </row>
    <row r="59" spans="6:10" ht="17.25" x14ac:dyDescent="0.25">
      <c r="F59" s="32"/>
      <c r="G59" s="36"/>
      <c r="H59" s="37"/>
      <c r="I59" s="38">
        <f>SUM(I53:I58)</f>
        <v>10429.891428571427</v>
      </c>
    </row>
    <row r="60" spans="6:10" ht="17.25" x14ac:dyDescent="0.25">
      <c r="F60" s="32"/>
      <c r="G60" s="34"/>
      <c r="H60" s="39"/>
      <c r="I60" s="35"/>
    </row>
    <row r="61" spans="6:10" ht="17.25" x14ac:dyDescent="0.25">
      <c r="F61" s="27">
        <v>15772</v>
      </c>
      <c r="G61" s="28" t="s">
        <v>44</v>
      </c>
      <c r="H61" s="29">
        <v>118</v>
      </c>
      <c r="I61" s="30">
        <f>J61*H61</f>
        <v>1652</v>
      </c>
      <c r="J61" s="31">
        <v>14</v>
      </c>
    </row>
    <row r="62" spans="6:10" ht="17.25" x14ac:dyDescent="0.25">
      <c r="F62" s="32"/>
      <c r="G62" s="33" t="s">
        <v>45</v>
      </c>
      <c r="H62" s="29">
        <v>118</v>
      </c>
      <c r="I62" s="30">
        <f t="shared" ref="I62:I65" si="3">J62*H62</f>
        <v>7416.3</v>
      </c>
      <c r="J62" s="31">
        <v>62.85</v>
      </c>
    </row>
    <row r="63" spans="6:10" ht="17.25" x14ac:dyDescent="0.25">
      <c r="F63" s="32"/>
      <c r="G63" s="33" t="s">
        <v>46</v>
      </c>
      <c r="H63" s="29">
        <v>118</v>
      </c>
      <c r="I63" s="30">
        <f t="shared" si="3"/>
        <v>95.121111111111105</v>
      </c>
      <c r="J63" s="31">
        <v>0.80611111111111111</v>
      </c>
    </row>
    <row r="64" spans="6:10" ht="17.25" x14ac:dyDescent="0.25">
      <c r="F64" s="32"/>
      <c r="G64" s="33" t="s">
        <v>47</v>
      </c>
      <c r="H64" s="29">
        <v>118</v>
      </c>
      <c r="I64" s="30">
        <f t="shared" si="3"/>
        <v>1110.1177777777777</v>
      </c>
      <c r="J64" s="31">
        <v>9.4077777777777776</v>
      </c>
    </row>
    <row r="65" spans="6:10" ht="17.25" x14ac:dyDescent="0.25">
      <c r="F65" s="32"/>
      <c r="G65" s="33" t="s">
        <v>48</v>
      </c>
      <c r="H65" s="29">
        <v>118</v>
      </c>
      <c r="I65" s="30">
        <f t="shared" si="3"/>
        <v>6819.8942857142856</v>
      </c>
      <c r="J65" s="31">
        <v>57.795714285714283</v>
      </c>
    </row>
    <row r="66" spans="6:10" ht="17.25" x14ac:dyDescent="0.25">
      <c r="F66" s="32"/>
      <c r="G66" s="34"/>
      <c r="H66" s="34"/>
      <c r="I66" s="35"/>
    </row>
    <row r="67" spans="6:10" ht="17.25" x14ac:dyDescent="0.25">
      <c r="F67" s="32"/>
      <c r="G67" s="36"/>
      <c r="H67" s="37"/>
      <c r="I67" s="38">
        <f>SUM(I61:I66)</f>
        <v>17093.433174603175</v>
      </c>
    </row>
    <row r="68" spans="6:10" ht="17.25" x14ac:dyDescent="0.25">
      <c r="F68" s="32"/>
      <c r="G68" s="34"/>
      <c r="H68" s="39"/>
      <c r="I68" s="35"/>
    </row>
    <row r="69" spans="6:10" ht="17.25" x14ac:dyDescent="0.25">
      <c r="F69" s="27">
        <v>15773</v>
      </c>
      <c r="G69" s="28" t="s">
        <v>44</v>
      </c>
      <c r="H69" s="29">
        <v>118</v>
      </c>
      <c r="I69" s="30">
        <f>J69*H69</f>
        <v>1652</v>
      </c>
      <c r="J69" s="31">
        <v>14</v>
      </c>
    </row>
    <row r="70" spans="6:10" ht="17.25" x14ac:dyDescent="0.25">
      <c r="F70" s="32"/>
      <c r="G70" s="33" t="s">
        <v>45</v>
      </c>
      <c r="H70" s="29">
        <v>118</v>
      </c>
      <c r="I70" s="30">
        <f t="shared" ref="I70:I73" si="4">J70*H70</f>
        <v>7416.3</v>
      </c>
      <c r="J70" s="31">
        <v>62.85</v>
      </c>
    </row>
    <row r="71" spans="6:10" ht="17.25" x14ac:dyDescent="0.25">
      <c r="F71" s="32"/>
      <c r="G71" s="33" t="s">
        <v>46</v>
      </c>
      <c r="H71" s="29">
        <v>118</v>
      </c>
      <c r="I71" s="30">
        <f t="shared" si="4"/>
        <v>95.121111111111105</v>
      </c>
      <c r="J71" s="31">
        <v>0.80611111111111111</v>
      </c>
    </row>
    <row r="72" spans="6:10" ht="17.25" x14ac:dyDescent="0.25">
      <c r="F72" s="32"/>
      <c r="G72" s="33" t="s">
        <v>47</v>
      </c>
      <c r="H72" s="29">
        <v>118</v>
      </c>
      <c r="I72" s="30">
        <f t="shared" si="4"/>
        <v>1110.1177777777777</v>
      </c>
      <c r="J72" s="31">
        <v>9.4077777777777776</v>
      </c>
    </row>
    <row r="73" spans="6:10" ht="17.25" x14ac:dyDescent="0.25">
      <c r="F73" s="32"/>
      <c r="G73" s="33" t="s">
        <v>48</v>
      </c>
      <c r="H73" s="29">
        <v>118</v>
      </c>
      <c r="I73" s="30">
        <f t="shared" si="4"/>
        <v>6819.8942857142856</v>
      </c>
      <c r="J73" s="31">
        <v>57.795714285714283</v>
      </c>
    </row>
    <row r="74" spans="6:10" ht="17.25" x14ac:dyDescent="0.25">
      <c r="F74" s="32"/>
      <c r="G74" s="40"/>
      <c r="H74" s="34"/>
      <c r="I74" s="35"/>
    </row>
    <row r="75" spans="6:10" ht="17.25" x14ac:dyDescent="0.25">
      <c r="F75" s="32"/>
      <c r="G75" s="36"/>
      <c r="H75" s="37"/>
      <c r="I75" s="38">
        <f>SUM(I69:I74)</f>
        <v>17093.433174603175</v>
      </c>
    </row>
    <row r="76" spans="6:10" ht="17.25" x14ac:dyDescent="0.25">
      <c r="F76" s="32"/>
      <c r="G76" s="34"/>
      <c r="H76" s="39"/>
      <c r="I76" s="35"/>
    </row>
    <row r="77" spans="6:10" ht="17.25" x14ac:dyDescent="0.25">
      <c r="F77" s="27">
        <v>15774</v>
      </c>
      <c r="G77" s="28" t="s">
        <v>44</v>
      </c>
      <c r="H77" s="29">
        <v>66</v>
      </c>
      <c r="I77" s="30">
        <f>J77*H77</f>
        <v>924</v>
      </c>
      <c r="J77" s="31">
        <v>14</v>
      </c>
    </row>
    <row r="78" spans="6:10" ht="17.25" x14ac:dyDescent="0.25">
      <c r="F78" s="32"/>
      <c r="G78" s="33" t="s">
        <v>45</v>
      </c>
      <c r="H78" s="29">
        <v>66</v>
      </c>
      <c r="I78" s="30">
        <f t="shared" ref="I78:I81" si="5">J78*H78</f>
        <v>4148.1000000000004</v>
      </c>
      <c r="J78" s="31">
        <v>62.85</v>
      </c>
    </row>
    <row r="79" spans="6:10" ht="17.25" x14ac:dyDescent="0.25">
      <c r="F79" s="32"/>
      <c r="G79" s="33" t="s">
        <v>46</v>
      </c>
      <c r="H79" s="29">
        <v>66</v>
      </c>
      <c r="I79" s="30">
        <f t="shared" si="5"/>
        <v>53.203333333333333</v>
      </c>
      <c r="J79" s="31">
        <v>0.80611111111111111</v>
      </c>
    </row>
    <row r="80" spans="6:10" ht="17.25" x14ac:dyDescent="0.25">
      <c r="F80" s="32"/>
      <c r="G80" s="33" t="s">
        <v>47</v>
      </c>
      <c r="H80" s="29">
        <v>66</v>
      </c>
      <c r="I80" s="30">
        <f t="shared" si="5"/>
        <v>620.9133333333333</v>
      </c>
      <c r="J80" s="31">
        <v>9.4077777777777776</v>
      </c>
    </row>
    <row r="81" spans="6:10" ht="17.25" x14ac:dyDescent="0.25">
      <c r="F81" s="32"/>
      <c r="G81" s="33" t="s">
        <v>48</v>
      </c>
      <c r="H81" s="29">
        <v>66</v>
      </c>
      <c r="I81" s="30">
        <f t="shared" si="5"/>
        <v>3814.5171428571425</v>
      </c>
      <c r="J81" s="31">
        <v>57.795714285714283</v>
      </c>
    </row>
    <row r="82" spans="6:10" ht="17.25" x14ac:dyDescent="0.25">
      <c r="F82" s="32"/>
      <c r="G82" s="40"/>
      <c r="H82" s="34"/>
      <c r="I82" s="35"/>
    </row>
    <row r="83" spans="6:10" ht="17.25" x14ac:dyDescent="0.25">
      <c r="F83" s="32"/>
      <c r="G83" s="36"/>
      <c r="H83" s="37"/>
      <c r="I83" s="38">
        <f>SUM(I77:I82)</f>
        <v>9560.7338095238083</v>
      </c>
    </row>
    <row r="84" spans="6:10" ht="17.25" x14ac:dyDescent="0.25">
      <c r="F84" s="32"/>
      <c r="G84" s="36"/>
      <c r="H84" s="37"/>
      <c r="I84" s="38"/>
    </row>
    <row r="85" spans="6:10" ht="17.25" x14ac:dyDescent="0.25">
      <c r="F85" s="32"/>
      <c r="G85" s="34"/>
      <c r="H85" s="39"/>
      <c r="I85" s="35"/>
    </row>
    <row r="86" spans="6:10" ht="17.25" x14ac:dyDescent="0.25">
      <c r="F86" s="27">
        <v>7994</v>
      </c>
      <c r="G86" s="28" t="s">
        <v>44</v>
      </c>
      <c r="H86" s="29">
        <v>68</v>
      </c>
      <c r="I86" s="30">
        <f>J86*H86</f>
        <v>952</v>
      </c>
      <c r="J86" s="31">
        <v>14</v>
      </c>
    </row>
    <row r="87" spans="6:10" ht="17.25" x14ac:dyDescent="0.25">
      <c r="F87" s="32"/>
      <c r="G87" s="33" t="s">
        <v>45</v>
      </c>
      <c r="H87" s="29">
        <v>68</v>
      </c>
      <c r="I87" s="30">
        <f t="shared" ref="I87:I90" si="6">J87*H87</f>
        <v>4273.8</v>
      </c>
      <c r="J87" s="31">
        <v>62.85</v>
      </c>
    </row>
    <row r="88" spans="6:10" ht="17.25" x14ac:dyDescent="0.25">
      <c r="F88" s="32"/>
      <c r="G88" s="33" t="s">
        <v>46</v>
      </c>
      <c r="H88" s="29">
        <v>68</v>
      </c>
      <c r="I88" s="30">
        <f t="shared" si="6"/>
        <v>54.815555555555555</v>
      </c>
      <c r="J88" s="31">
        <v>0.80611111111111111</v>
      </c>
    </row>
    <row r="89" spans="6:10" ht="17.25" x14ac:dyDescent="0.25">
      <c r="F89" s="32"/>
      <c r="G89" s="33" t="s">
        <v>47</v>
      </c>
      <c r="H89" s="29">
        <v>68</v>
      </c>
      <c r="I89" s="30">
        <f t="shared" si="6"/>
        <v>639.72888888888883</v>
      </c>
      <c r="J89" s="31">
        <v>9.4077777777777776</v>
      </c>
    </row>
    <row r="90" spans="6:10" ht="17.25" x14ac:dyDescent="0.25">
      <c r="F90" s="32"/>
      <c r="G90" s="33" t="s">
        <v>48</v>
      </c>
      <c r="H90" s="29">
        <v>68</v>
      </c>
      <c r="I90" s="30">
        <f t="shared" si="6"/>
        <v>3930.1085714285714</v>
      </c>
      <c r="J90" s="31">
        <v>57.795714285714283</v>
      </c>
    </row>
    <row r="91" spans="6:10" ht="17.25" x14ac:dyDescent="0.25">
      <c r="F91" s="32"/>
      <c r="G91" s="40"/>
      <c r="H91" s="34"/>
      <c r="I91" s="35"/>
    </row>
    <row r="92" spans="6:10" ht="17.25" x14ac:dyDescent="0.25">
      <c r="F92" s="32"/>
      <c r="G92" s="36"/>
      <c r="H92" s="37"/>
      <c r="I92" s="38">
        <f>SUM(I86:I91)</f>
        <v>9850.4530158730158</v>
      </c>
    </row>
    <row r="93" spans="6:10" ht="17.25" x14ac:dyDescent="0.25">
      <c r="F93" s="32"/>
      <c r="G93" s="34"/>
      <c r="H93" s="39"/>
      <c r="I93" s="35"/>
    </row>
    <row r="94" spans="6:10" ht="17.25" x14ac:dyDescent="0.25">
      <c r="F94" s="27">
        <v>7995</v>
      </c>
      <c r="G94" s="28" t="s">
        <v>44</v>
      </c>
      <c r="H94" s="29">
        <v>68</v>
      </c>
      <c r="I94" s="30">
        <f>J94*H94</f>
        <v>952</v>
      </c>
      <c r="J94" s="31">
        <v>14</v>
      </c>
    </row>
    <row r="95" spans="6:10" ht="17.25" x14ac:dyDescent="0.25">
      <c r="F95" s="32"/>
      <c r="G95" s="33" t="s">
        <v>45</v>
      </c>
      <c r="H95" s="29">
        <v>68</v>
      </c>
      <c r="I95" s="30">
        <f t="shared" ref="I95:I98" si="7">J95*H95</f>
        <v>4273.8</v>
      </c>
      <c r="J95" s="31">
        <v>62.85</v>
      </c>
    </row>
    <row r="96" spans="6:10" ht="17.25" x14ac:dyDescent="0.25">
      <c r="F96" s="32"/>
      <c r="G96" s="33" t="s">
        <v>46</v>
      </c>
      <c r="H96" s="29">
        <v>68</v>
      </c>
      <c r="I96" s="30">
        <f t="shared" si="7"/>
        <v>54.815555555555555</v>
      </c>
      <c r="J96" s="31">
        <v>0.80611111111111111</v>
      </c>
    </row>
    <row r="97" spans="6:10" ht="17.25" x14ac:dyDescent="0.25">
      <c r="F97" s="32"/>
      <c r="G97" s="33" t="s">
        <v>47</v>
      </c>
      <c r="H97" s="29">
        <v>68</v>
      </c>
      <c r="I97" s="30">
        <f t="shared" si="7"/>
        <v>639.72888888888883</v>
      </c>
      <c r="J97" s="31">
        <v>9.4077777777777776</v>
      </c>
    </row>
    <row r="98" spans="6:10" ht="17.25" x14ac:dyDescent="0.25">
      <c r="F98" s="32"/>
      <c r="G98" s="33" t="s">
        <v>48</v>
      </c>
      <c r="H98" s="29">
        <v>68</v>
      </c>
      <c r="I98" s="30">
        <f t="shared" si="7"/>
        <v>3930.1085714285714</v>
      </c>
      <c r="J98" s="31">
        <v>57.795714285714283</v>
      </c>
    </row>
    <row r="99" spans="6:10" ht="17.25" x14ac:dyDescent="0.25">
      <c r="F99" s="32"/>
      <c r="G99" s="34"/>
      <c r="H99" s="34"/>
      <c r="I99" s="35"/>
    </row>
    <row r="100" spans="6:10" ht="17.25" x14ac:dyDescent="0.25">
      <c r="F100" s="32"/>
      <c r="G100" s="36"/>
      <c r="H100" s="37"/>
      <c r="I100" s="38">
        <f>SUM(I94:I99)</f>
        <v>9850.4530158730158</v>
      </c>
    </row>
    <row r="101" spans="6:10" ht="17.25" x14ac:dyDescent="0.25">
      <c r="F101" s="32"/>
      <c r="G101" s="34"/>
      <c r="H101" s="39"/>
      <c r="I101" s="35"/>
    </row>
    <row r="102" spans="6:10" ht="17.25" x14ac:dyDescent="0.25">
      <c r="F102" s="27">
        <v>7996</v>
      </c>
      <c r="G102" s="28" t="s">
        <v>44</v>
      </c>
      <c r="H102" s="29">
        <v>68</v>
      </c>
      <c r="I102" s="30">
        <f>J102*H102</f>
        <v>952</v>
      </c>
      <c r="J102" s="31">
        <v>14</v>
      </c>
    </row>
    <row r="103" spans="6:10" ht="17.25" x14ac:dyDescent="0.25">
      <c r="F103" s="32"/>
      <c r="G103" s="33" t="s">
        <v>45</v>
      </c>
      <c r="H103" s="29">
        <v>68</v>
      </c>
      <c r="I103" s="30">
        <f t="shared" ref="I103:I106" si="8">J103*H103</f>
        <v>4273.8</v>
      </c>
      <c r="J103" s="31">
        <v>62.85</v>
      </c>
    </row>
    <row r="104" spans="6:10" ht="17.25" x14ac:dyDescent="0.25">
      <c r="F104" s="32"/>
      <c r="G104" s="33" t="s">
        <v>46</v>
      </c>
      <c r="H104" s="29">
        <v>68</v>
      </c>
      <c r="I104" s="30">
        <f t="shared" si="8"/>
        <v>54.815555555555555</v>
      </c>
      <c r="J104" s="31">
        <v>0.80611111111111111</v>
      </c>
    </row>
    <row r="105" spans="6:10" ht="17.25" x14ac:dyDescent="0.25">
      <c r="F105" s="32"/>
      <c r="G105" s="33" t="s">
        <v>47</v>
      </c>
      <c r="H105" s="29">
        <v>68</v>
      </c>
      <c r="I105" s="30">
        <f t="shared" si="8"/>
        <v>639.72888888888883</v>
      </c>
      <c r="J105" s="31">
        <v>9.4077777777777776</v>
      </c>
    </row>
    <row r="106" spans="6:10" ht="17.25" x14ac:dyDescent="0.25">
      <c r="F106" s="32"/>
      <c r="G106" s="33" t="s">
        <v>48</v>
      </c>
      <c r="H106" s="29">
        <v>68</v>
      </c>
      <c r="I106" s="30">
        <f t="shared" si="8"/>
        <v>3930.1085714285714</v>
      </c>
      <c r="J106" s="31">
        <v>57.795714285714283</v>
      </c>
    </row>
    <row r="107" spans="6:10" ht="17.25" x14ac:dyDescent="0.25">
      <c r="F107" s="32"/>
      <c r="G107" s="34"/>
      <c r="H107" s="34"/>
      <c r="I107" s="35"/>
    </row>
    <row r="108" spans="6:10" ht="17.25" x14ac:dyDescent="0.25">
      <c r="F108" s="32"/>
      <c r="G108" s="36"/>
      <c r="H108" s="37"/>
      <c r="I108" s="38">
        <f>SUM(I102:I107)</f>
        <v>9850.4530158730158</v>
      </c>
    </row>
    <row r="109" spans="6:10" ht="17.25" x14ac:dyDescent="0.25">
      <c r="F109" s="32"/>
      <c r="G109" s="34"/>
      <c r="H109" s="39"/>
      <c r="I109" s="35"/>
    </row>
    <row r="110" spans="6:10" ht="17.25" x14ac:dyDescent="0.25">
      <c r="F110" s="27">
        <v>7999</v>
      </c>
      <c r="G110" s="28" t="s">
        <v>44</v>
      </c>
      <c r="H110" s="29">
        <v>90</v>
      </c>
      <c r="I110" s="30">
        <f>J110*H110</f>
        <v>1260</v>
      </c>
      <c r="J110" s="31">
        <v>14</v>
      </c>
    </row>
    <row r="111" spans="6:10" ht="17.25" x14ac:dyDescent="0.25">
      <c r="F111" s="32"/>
      <c r="G111" s="33" t="s">
        <v>45</v>
      </c>
      <c r="H111" s="29">
        <v>90</v>
      </c>
      <c r="I111" s="30">
        <f t="shared" ref="I111:I114" si="9">J111*H111</f>
        <v>5656.5</v>
      </c>
      <c r="J111" s="31">
        <v>62.85</v>
      </c>
    </row>
    <row r="112" spans="6:10" ht="17.25" x14ac:dyDescent="0.25">
      <c r="F112" s="32"/>
      <c r="G112" s="33" t="s">
        <v>46</v>
      </c>
      <c r="H112" s="29">
        <v>90</v>
      </c>
      <c r="I112" s="30">
        <f t="shared" si="9"/>
        <v>72.55</v>
      </c>
      <c r="J112" s="31">
        <v>0.80611111111111111</v>
      </c>
    </row>
    <row r="113" spans="6:10" ht="17.25" x14ac:dyDescent="0.25">
      <c r="F113" s="32"/>
      <c r="G113" s="33" t="s">
        <v>47</v>
      </c>
      <c r="H113" s="29">
        <v>90</v>
      </c>
      <c r="I113" s="30">
        <f t="shared" si="9"/>
        <v>846.69999999999993</v>
      </c>
      <c r="J113" s="31">
        <v>9.4077777777777776</v>
      </c>
    </row>
    <row r="114" spans="6:10" ht="17.25" x14ac:dyDescent="0.25">
      <c r="F114" s="32"/>
      <c r="G114" s="33" t="s">
        <v>48</v>
      </c>
      <c r="H114" s="29">
        <v>90</v>
      </c>
      <c r="I114" s="30">
        <f t="shared" si="9"/>
        <v>5201.6142857142859</v>
      </c>
      <c r="J114" s="31">
        <v>57.795714285714283</v>
      </c>
    </row>
    <row r="115" spans="6:10" ht="17.25" x14ac:dyDescent="0.25">
      <c r="F115" s="32"/>
      <c r="G115" s="34"/>
      <c r="H115" s="29"/>
      <c r="I115" s="35"/>
    </row>
    <row r="116" spans="6:10" ht="17.25" x14ac:dyDescent="0.25">
      <c r="F116" s="32"/>
      <c r="G116" s="36"/>
      <c r="H116" s="37"/>
      <c r="I116" s="38">
        <f>SUM(I110:I115)</f>
        <v>13037.364285714286</v>
      </c>
    </row>
    <row r="117" spans="6:10" ht="17.25" x14ac:dyDescent="0.25">
      <c r="F117" s="32"/>
      <c r="G117" s="34"/>
      <c r="H117" s="39"/>
      <c r="I117" s="35"/>
    </row>
    <row r="118" spans="6:10" ht="17.25" x14ac:dyDescent="0.25">
      <c r="F118" s="27">
        <v>8000</v>
      </c>
      <c r="G118" s="28" t="s">
        <v>44</v>
      </c>
      <c r="H118" s="29">
        <v>68</v>
      </c>
      <c r="I118" s="30">
        <f>J118*H118</f>
        <v>952</v>
      </c>
      <c r="J118" s="31">
        <v>14</v>
      </c>
    </row>
    <row r="119" spans="6:10" ht="17.25" x14ac:dyDescent="0.25">
      <c r="F119" s="32"/>
      <c r="G119" s="33" t="s">
        <v>45</v>
      </c>
      <c r="H119" s="29">
        <v>68</v>
      </c>
      <c r="I119" s="30">
        <f t="shared" ref="I119:I122" si="10">J119*H119</f>
        <v>4273.8</v>
      </c>
      <c r="J119" s="31">
        <v>62.85</v>
      </c>
    </row>
    <row r="120" spans="6:10" ht="17.25" x14ac:dyDescent="0.25">
      <c r="F120" s="32"/>
      <c r="G120" s="33" t="s">
        <v>46</v>
      </c>
      <c r="H120" s="29">
        <v>68</v>
      </c>
      <c r="I120" s="30">
        <f t="shared" si="10"/>
        <v>54.815555555555555</v>
      </c>
      <c r="J120" s="31">
        <v>0.80611111111111111</v>
      </c>
    </row>
    <row r="121" spans="6:10" ht="17.25" x14ac:dyDescent="0.25">
      <c r="F121" s="32"/>
      <c r="G121" s="33" t="s">
        <v>47</v>
      </c>
      <c r="H121" s="29">
        <v>68</v>
      </c>
      <c r="I121" s="30">
        <f t="shared" si="10"/>
        <v>639.72888888888883</v>
      </c>
      <c r="J121" s="31">
        <v>9.4077777777777776</v>
      </c>
    </row>
    <row r="122" spans="6:10" ht="17.25" x14ac:dyDescent="0.25">
      <c r="F122" s="32"/>
      <c r="G122" s="33" t="s">
        <v>48</v>
      </c>
      <c r="H122" s="29">
        <v>68</v>
      </c>
      <c r="I122" s="30">
        <f t="shared" si="10"/>
        <v>3930.1085714285714</v>
      </c>
      <c r="J122" s="31">
        <v>57.795714285714283</v>
      </c>
    </row>
    <row r="123" spans="6:10" ht="17.25" x14ac:dyDescent="0.25">
      <c r="F123" s="32"/>
      <c r="G123" s="34"/>
      <c r="H123" s="34"/>
      <c r="I123" s="35"/>
    </row>
    <row r="124" spans="6:10" ht="17.25" x14ac:dyDescent="0.25">
      <c r="F124" s="32"/>
      <c r="G124" s="36"/>
      <c r="H124" s="37"/>
      <c r="I124" s="38">
        <f>SUM(I118:I123)</f>
        <v>9850.4530158730158</v>
      </c>
    </row>
    <row r="125" spans="6:10" ht="17.25" x14ac:dyDescent="0.25">
      <c r="F125" s="32"/>
      <c r="G125" s="34"/>
      <c r="H125" s="39"/>
      <c r="I125" s="35"/>
    </row>
    <row r="126" spans="6:10" ht="17.25" x14ac:dyDescent="0.25">
      <c r="F126" s="32"/>
      <c r="G126" s="40"/>
      <c r="H126" s="34"/>
      <c r="I126" s="35"/>
    </row>
    <row r="127" spans="6:10" ht="17.25" x14ac:dyDescent="0.25">
      <c r="F127" s="27">
        <v>8001</v>
      </c>
      <c r="G127" s="28" t="s">
        <v>44</v>
      </c>
      <c r="H127" s="29">
        <v>90</v>
      </c>
      <c r="I127" s="30">
        <f>J127*H127</f>
        <v>1260</v>
      </c>
      <c r="J127" s="31">
        <v>14</v>
      </c>
    </row>
    <row r="128" spans="6:10" ht="17.25" x14ac:dyDescent="0.25">
      <c r="F128" s="32"/>
      <c r="G128" s="33" t="s">
        <v>45</v>
      </c>
      <c r="H128" s="29">
        <v>90</v>
      </c>
      <c r="I128" s="30">
        <f t="shared" ref="I128:I131" si="11">J128*H128</f>
        <v>5656.5</v>
      </c>
      <c r="J128" s="31">
        <v>62.85</v>
      </c>
    </row>
    <row r="129" spans="6:10" ht="17.25" x14ac:dyDescent="0.25">
      <c r="F129" s="32"/>
      <c r="G129" s="33" t="s">
        <v>46</v>
      </c>
      <c r="H129" s="29">
        <v>90</v>
      </c>
      <c r="I129" s="30">
        <f t="shared" si="11"/>
        <v>72.55</v>
      </c>
      <c r="J129" s="31">
        <v>0.80611111111111111</v>
      </c>
    </row>
    <row r="130" spans="6:10" ht="17.25" x14ac:dyDescent="0.25">
      <c r="F130" s="32"/>
      <c r="G130" s="33" t="s">
        <v>47</v>
      </c>
      <c r="H130" s="29">
        <v>90</v>
      </c>
      <c r="I130" s="30">
        <f t="shared" si="11"/>
        <v>846.69999999999993</v>
      </c>
      <c r="J130" s="31">
        <v>9.4077777777777776</v>
      </c>
    </row>
    <row r="131" spans="6:10" ht="17.25" x14ac:dyDescent="0.25">
      <c r="F131" s="32"/>
      <c r="G131" s="33" t="s">
        <v>48</v>
      </c>
      <c r="H131" s="29">
        <v>90</v>
      </c>
      <c r="I131" s="30">
        <f t="shared" si="11"/>
        <v>5201.6142857142859</v>
      </c>
      <c r="J131" s="31">
        <v>57.795714285714283</v>
      </c>
    </row>
    <row r="132" spans="6:10" ht="17.25" x14ac:dyDescent="0.25">
      <c r="F132" s="32"/>
      <c r="G132" s="34"/>
      <c r="H132" s="34"/>
      <c r="I132" s="35"/>
    </row>
    <row r="133" spans="6:10" ht="17.25" x14ac:dyDescent="0.25">
      <c r="F133" s="32"/>
      <c r="G133" s="36"/>
      <c r="H133" s="37"/>
      <c r="I133" s="38">
        <f>SUM(I127:I132)</f>
        <v>13037.364285714286</v>
      </c>
    </row>
    <row r="134" spans="6:10" ht="17.25" x14ac:dyDescent="0.25">
      <c r="F134" s="32"/>
      <c r="G134" s="40"/>
      <c r="H134" s="34"/>
      <c r="I134" s="35"/>
    </row>
    <row r="135" spans="6:10" ht="17.25" x14ac:dyDescent="0.25">
      <c r="F135" s="27">
        <v>8002</v>
      </c>
      <c r="G135" s="28" t="s">
        <v>44</v>
      </c>
      <c r="H135" s="29">
        <v>90</v>
      </c>
      <c r="I135" s="30">
        <f>J135*H135</f>
        <v>1260</v>
      </c>
      <c r="J135" s="31">
        <v>14</v>
      </c>
    </row>
    <row r="136" spans="6:10" ht="17.25" x14ac:dyDescent="0.25">
      <c r="F136" s="32"/>
      <c r="G136" s="33" t="s">
        <v>45</v>
      </c>
      <c r="H136" s="29">
        <v>90</v>
      </c>
      <c r="I136" s="30">
        <f t="shared" ref="I136:I139" si="12">J136*H136</f>
        <v>5656.5</v>
      </c>
      <c r="J136" s="31">
        <v>62.85</v>
      </c>
    </row>
    <row r="137" spans="6:10" ht="17.25" x14ac:dyDescent="0.25">
      <c r="F137" s="32"/>
      <c r="G137" s="33" t="s">
        <v>46</v>
      </c>
      <c r="H137" s="29">
        <v>90</v>
      </c>
      <c r="I137" s="30">
        <f t="shared" si="12"/>
        <v>72.55</v>
      </c>
      <c r="J137" s="31">
        <v>0.80611111111111111</v>
      </c>
    </row>
    <row r="138" spans="6:10" ht="17.25" x14ac:dyDescent="0.25">
      <c r="F138" s="32"/>
      <c r="G138" s="33" t="s">
        <v>47</v>
      </c>
      <c r="H138" s="29">
        <v>90</v>
      </c>
      <c r="I138" s="30">
        <f t="shared" si="12"/>
        <v>846.69999999999993</v>
      </c>
      <c r="J138" s="31">
        <v>9.4077777777777776</v>
      </c>
    </row>
    <row r="139" spans="6:10" ht="17.25" x14ac:dyDescent="0.25">
      <c r="F139" s="32"/>
      <c r="G139" s="33" t="s">
        <v>48</v>
      </c>
      <c r="H139" s="29">
        <v>90</v>
      </c>
      <c r="I139" s="30">
        <f t="shared" si="12"/>
        <v>5201.6142857142859</v>
      </c>
      <c r="J139" s="31">
        <v>57.795714285714283</v>
      </c>
    </row>
    <row r="140" spans="6:10" ht="17.25" x14ac:dyDescent="0.25">
      <c r="F140" s="32"/>
      <c r="G140" s="34"/>
      <c r="H140" s="34"/>
      <c r="I140" s="35"/>
    </row>
    <row r="141" spans="6:10" ht="17.25" x14ac:dyDescent="0.25">
      <c r="F141" s="32"/>
      <c r="G141" s="36"/>
      <c r="H141" s="37"/>
      <c r="I141" s="38">
        <f>SUM(I135:I140)</f>
        <v>13037.364285714286</v>
      </c>
    </row>
    <row r="142" spans="6:10" ht="17.25" x14ac:dyDescent="0.25">
      <c r="F142" s="32"/>
      <c r="G142" s="40"/>
      <c r="H142" s="34"/>
      <c r="I142" s="35"/>
    </row>
    <row r="143" spans="6:10" ht="17.25" x14ac:dyDescent="0.25">
      <c r="F143" s="27">
        <v>8003</v>
      </c>
      <c r="G143" s="28" t="s">
        <v>44</v>
      </c>
      <c r="H143" s="29">
        <v>60</v>
      </c>
      <c r="I143" s="30">
        <f>J143*H143</f>
        <v>840</v>
      </c>
      <c r="J143" s="31">
        <v>14</v>
      </c>
    </row>
    <row r="144" spans="6:10" ht="17.25" x14ac:dyDescent="0.25">
      <c r="F144" s="32"/>
      <c r="G144" s="33" t="s">
        <v>45</v>
      </c>
      <c r="H144" s="29">
        <v>60</v>
      </c>
      <c r="I144" s="30">
        <f t="shared" ref="I144:I147" si="13">J144*H144</f>
        <v>3771</v>
      </c>
      <c r="J144" s="31">
        <v>62.85</v>
      </c>
    </row>
    <row r="145" spans="6:10" ht="17.25" x14ac:dyDescent="0.25">
      <c r="F145" s="32"/>
      <c r="G145" s="33" t="s">
        <v>46</v>
      </c>
      <c r="H145" s="29">
        <v>60</v>
      </c>
      <c r="I145" s="30">
        <f t="shared" si="13"/>
        <v>48.366666666666667</v>
      </c>
      <c r="J145" s="31">
        <v>0.80611111111111111</v>
      </c>
    </row>
    <row r="146" spans="6:10" ht="17.25" x14ac:dyDescent="0.25">
      <c r="F146" s="32"/>
      <c r="G146" s="33" t="s">
        <v>47</v>
      </c>
      <c r="H146" s="29">
        <v>60</v>
      </c>
      <c r="I146" s="30">
        <f t="shared" si="13"/>
        <v>564.4666666666667</v>
      </c>
      <c r="J146" s="31">
        <v>9.4077777777777776</v>
      </c>
    </row>
    <row r="147" spans="6:10" ht="17.25" x14ac:dyDescent="0.25">
      <c r="F147" s="32"/>
      <c r="G147" s="33" t="s">
        <v>48</v>
      </c>
      <c r="H147" s="29">
        <v>60</v>
      </c>
      <c r="I147" s="30">
        <f t="shared" si="13"/>
        <v>3467.7428571428568</v>
      </c>
      <c r="J147" s="31">
        <v>57.795714285714283</v>
      </c>
    </row>
    <row r="148" spans="6:10" ht="17.25" x14ac:dyDescent="0.25">
      <c r="F148" s="32"/>
      <c r="G148" s="34"/>
      <c r="H148" s="34"/>
      <c r="I148" s="35"/>
    </row>
    <row r="149" spans="6:10" ht="17.25" x14ac:dyDescent="0.25">
      <c r="F149" s="32"/>
      <c r="G149" s="36"/>
      <c r="H149" s="37"/>
      <c r="I149" s="38">
        <f>SUM(I143:I148)</f>
        <v>8691.5761904761912</v>
      </c>
    </row>
    <row r="150" spans="6:10" ht="17.25" x14ac:dyDescent="0.25">
      <c r="F150" s="32"/>
      <c r="G150" s="40"/>
      <c r="H150" s="34"/>
      <c r="I150" s="35"/>
    </row>
    <row r="151" spans="6:10" ht="17.25" x14ac:dyDescent="0.25">
      <c r="F151" s="27">
        <v>8004</v>
      </c>
      <c r="G151" s="28" t="s">
        <v>44</v>
      </c>
      <c r="H151" s="29">
        <v>60</v>
      </c>
      <c r="I151" s="30">
        <f>J151*H151</f>
        <v>840</v>
      </c>
      <c r="J151" s="31">
        <v>14</v>
      </c>
    </row>
    <row r="152" spans="6:10" ht="17.25" x14ac:dyDescent="0.25">
      <c r="F152" s="32"/>
      <c r="G152" s="33" t="s">
        <v>45</v>
      </c>
      <c r="H152" s="29">
        <v>60</v>
      </c>
      <c r="I152" s="30">
        <f t="shared" ref="I152:I155" si="14">J152*H152</f>
        <v>3771</v>
      </c>
      <c r="J152" s="31">
        <v>62.85</v>
      </c>
    </row>
    <row r="153" spans="6:10" ht="17.25" x14ac:dyDescent="0.25">
      <c r="F153" s="32"/>
      <c r="G153" s="33" t="s">
        <v>46</v>
      </c>
      <c r="H153" s="29">
        <v>60</v>
      </c>
      <c r="I153" s="30">
        <f t="shared" si="14"/>
        <v>48.366666666666667</v>
      </c>
      <c r="J153" s="31">
        <v>0.80611111111111111</v>
      </c>
    </row>
    <row r="154" spans="6:10" ht="17.25" x14ac:dyDescent="0.25">
      <c r="F154" s="32"/>
      <c r="G154" s="33" t="s">
        <v>47</v>
      </c>
      <c r="H154" s="29">
        <v>60</v>
      </c>
      <c r="I154" s="30">
        <f t="shared" si="14"/>
        <v>564.4666666666667</v>
      </c>
      <c r="J154" s="31">
        <v>9.4077777777777776</v>
      </c>
    </row>
    <row r="155" spans="6:10" ht="17.25" x14ac:dyDescent="0.25">
      <c r="F155" s="32"/>
      <c r="G155" s="33" t="s">
        <v>48</v>
      </c>
      <c r="H155" s="29">
        <v>60</v>
      </c>
      <c r="I155" s="30">
        <f t="shared" si="14"/>
        <v>3467.7428571428568</v>
      </c>
      <c r="J155" s="31">
        <v>57.795714285714283</v>
      </c>
    </row>
    <row r="156" spans="6:10" ht="17.25" x14ac:dyDescent="0.25">
      <c r="F156" s="32"/>
      <c r="G156" s="34"/>
      <c r="H156" s="34"/>
      <c r="I156" s="35"/>
    </row>
    <row r="157" spans="6:10" ht="17.25" x14ac:dyDescent="0.25">
      <c r="F157" s="32"/>
      <c r="G157" s="36"/>
      <c r="H157" s="37"/>
      <c r="I157" s="38">
        <f>SUM(I151:I156)</f>
        <v>8691.5761904761912</v>
      </c>
    </row>
    <row r="158" spans="6:10" ht="17.25" x14ac:dyDescent="0.25">
      <c r="F158" s="32"/>
      <c r="G158" s="40"/>
      <c r="H158" s="34"/>
      <c r="I158" s="35"/>
    </row>
    <row r="159" spans="6:10" ht="17.25" x14ac:dyDescent="0.25">
      <c r="F159" s="27">
        <v>8007</v>
      </c>
      <c r="G159" s="28" t="s">
        <v>44</v>
      </c>
      <c r="H159" s="29">
        <v>100</v>
      </c>
      <c r="I159" s="30">
        <f>J159*H159</f>
        <v>1400</v>
      </c>
      <c r="J159" s="31">
        <v>14</v>
      </c>
    </row>
    <row r="160" spans="6:10" ht="17.25" x14ac:dyDescent="0.25">
      <c r="F160" s="32"/>
      <c r="G160" s="33" t="s">
        <v>45</v>
      </c>
      <c r="H160" s="29">
        <v>100</v>
      </c>
      <c r="I160" s="30">
        <f t="shared" ref="I160:I163" si="15">J160*H160</f>
        <v>6285</v>
      </c>
      <c r="J160" s="31">
        <v>62.85</v>
      </c>
    </row>
    <row r="161" spans="6:10" ht="17.25" x14ac:dyDescent="0.25">
      <c r="F161" s="32"/>
      <c r="G161" s="33" t="s">
        <v>46</v>
      </c>
      <c r="H161" s="29">
        <v>100</v>
      </c>
      <c r="I161" s="30">
        <f t="shared" si="15"/>
        <v>80.611111111111114</v>
      </c>
      <c r="J161" s="31">
        <v>0.80611111111111111</v>
      </c>
    </row>
    <row r="162" spans="6:10" ht="17.25" x14ac:dyDescent="0.25">
      <c r="F162" s="32"/>
      <c r="G162" s="33" t="s">
        <v>47</v>
      </c>
      <c r="H162" s="29">
        <v>100</v>
      </c>
      <c r="I162" s="30">
        <f t="shared" si="15"/>
        <v>940.77777777777771</v>
      </c>
      <c r="J162" s="31">
        <v>9.4077777777777776</v>
      </c>
    </row>
    <row r="163" spans="6:10" ht="17.25" x14ac:dyDescent="0.25">
      <c r="F163" s="32"/>
      <c r="G163" s="33" t="s">
        <v>48</v>
      </c>
      <c r="H163" s="29">
        <v>100</v>
      </c>
      <c r="I163" s="30">
        <f t="shared" si="15"/>
        <v>5779.5714285714284</v>
      </c>
      <c r="J163" s="31">
        <v>57.795714285714283</v>
      </c>
    </row>
    <row r="164" spans="6:10" ht="17.25" x14ac:dyDescent="0.25">
      <c r="F164" s="32"/>
      <c r="G164" s="34"/>
      <c r="H164" s="34"/>
      <c r="I164" s="35"/>
    </row>
    <row r="165" spans="6:10" ht="17.25" x14ac:dyDescent="0.25">
      <c r="F165" s="32"/>
      <c r="G165" s="36"/>
      <c r="H165" s="37"/>
      <c r="I165" s="38">
        <f>SUM(I159:I164)</f>
        <v>14485.960317460318</v>
      </c>
    </row>
    <row r="166" spans="6:10" ht="17.25" x14ac:dyDescent="0.25">
      <c r="F166" s="32"/>
      <c r="G166" s="40"/>
      <c r="H166" s="34"/>
      <c r="I166" s="35"/>
    </row>
    <row r="167" spans="6:10" ht="17.25" x14ac:dyDescent="0.25">
      <c r="F167" s="27">
        <v>8008</v>
      </c>
      <c r="G167" s="28" t="s">
        <v>44</v>
      </c>
      <c r="H167" s="29">
        <v>112</v>
      </c>
      <c r="I167" s="30">
        <f>J167*H167</f>
        <v>1568</v>
      </c>
      <c r="J167" s="31">
        <v>14</v>
      </c>
    </row>
    <row r="168" spans="6:10" ht="17.25" x14ac:dyDescent="0.25">
      <c r="F168" s="32"/>
      <c r="G168" s="33" t="s">
        <v>45</v>
      </c>
      <c r="H168" s="29">
        <v>112</v>
      </c>
      <c r="I168" s="30">
        <f t="shared" ref="I168:I171" si="16">J168*H168</f>
        <v>7039.2</v>
      </c>
      <c r="J168" s="31">
        <v>62.85</v>
      </c>
    </row>
    <row r="169" spans="6:10" ht="17.25" x14ac:dyDescent="0.25">
      <c r="F169" s="32"/>
      <c r="G169" s="33" t="s">
        <v>46</v>
      </c>
      <c r="H169" s="29">
        <v>112</v>
      </c>
      <c r="I169" s="30">
        <f t="shared" si="16"/>
        <v>90.284444444444446</v>
      </c>
      <c r="J169" s="31">
        <v>0.80611111111111111</v>
      </c>
    </row>
    <row r="170" spans="6:10" ht="17.25" x14ac:dyDescent="0.25">
      <c r="F170" s="32"/>
      <c r="G170" s="33" t="s">
        <v>47</v>
      </c>
      <c r="H170" s="29">
        <v>112</v>
      </c>
      <c r="I170" s="30">
        <f t="shared" si="16"/>
        <v>1053.671111111111</v>
      </c>
      <c r="J170" s="31">
        <v>9.4077777777777776</v>
      </c>
    </row>
    <row r="171" spans="6:10" ht="17.25" x14ac:dyDescent="0.25">
      <c r="F171" s="32"/>
      <c r="G171" s="33" t="s">
        <v>48</v>
      </c>
      <c r="H171" s="29">
        <v>112</v>
      </c>
      <c r="I171" s="30">
        <f t="shared" si="16"/>
        <v>6473.12</v>
      </c>
      <c r="J171" s="31">
        <v>57.795714285714283</v>
      </c>
    </row>
    <row r="172" spans="6:10" ht="17.25" x14ac:dyDescent="0.25">
      <c r="F172" s="32"/>
      <c r="G172" s="34"/>
      <c r="H172" s="34"/>
      <c r="I172" s="35"/>
    </row>
    <row r="173" spans="6:10" ht="17.25" x14ac:dyDescent="0.25">
      <c r="F173" s="32"/>
      <c r="G173" s="36"/>
      <c r="H173" s="37"/>
      <c r="I173" s="38">
        <f>SUM(I167:I172)</f>
        <v>16224.275555555556</v>
      </c>
    </row>
    <row r="174" spans="6:10" ht="17.25" x14ac:dyDescent="0.25">
      <c r="F174" s="32"/>
      <c r="G174" s="34"/>
      <c r="H174" s="34"/>
      <c r="I174" s="35"/>
    </row>
    <row r="175" spans="6:10" ht="17.25" x14ac:dyDescent="0.25">
      <c r="F175" s="27">
        <v>8009</v>
      </c>
      <c r="G175" s="28" t="s">
        <v>44</v>
      </c>
      <c r="H175" s="29">
        <v>108</v>
      </c>
      <c r="I175" s="30">
        <f>J175*H175</f>
        <v>1512</v>
      </c>
      <c r="J175" s="31">
        <v>14</v>
      </c>
    </row>
    <row r="176" spans="6:10" ht="17.25" x14ac:dyDescent="0.25">
      <c r="F176" s="32"/>
      <c r="G176" s="33" t="s">
        <v>45</v>
      </c>
      <c r="H176" s="29">
        <v>108</v>
      </c>
      <c r="I176" s="30">
        <f t="shared" ref="I176:I179" si="17">J176*H176</f>
        <v>6787.8</v>
      </c>
      <c r="J176" s="31">
        <v>62.85</v>
      </c>
    </row>
    <row r="177" spans="6:10" ht="17.25" x14ac:dyDescent="0.25">
      <c r="F177" s="32"/>
      <c r="G177" s="33" t="s">
        <v>46</v>
      </c>
      <c r="H177" s="29">
        <v>108</v>
      </c>
      <c r="I177" s="30">
        <f t="shared" si="17"/>
        <v>87.06</v>
      </c>
      <c r="J177" s="31">
        <v>0.80611111111111111</v>
      </c>
    </row>
    <row r="178" spans="6:10" ht="17.25" x14ac:dyDescent="0.25">
      <c r="F178" s="32"/>
      <c r="G178" s="33" t="s">
        <v>47</v>
      </c>
      <c r="H178" s="29">
        <v>108</v>
      </c>
      <c r="I178" s="30">
        <f t="shared" si="17"/>
        <v>1016.04</v>
      </c>
      <c r="J178" s="31">
        <v>9.4077777777777776</v>
      </c>
    </row>
    <row r="179" spans="6:10" ht="17.25" x14ac:dyDescent="0.25">
      <c r="F179" s="32"/>
      <c r="G179" s="33" t="s">
        <v>48</v>
      </c>
      <c r="H179" s="29">
        <v>108</v>
      </c>
      <c r="I179" s="30">
        <f t="shared" si="17"/>
        <v>6241.9371428571421</v>
      </c>
      <c r="J179" s="31">
        <v>57.795714285714283</v>
      </c>
    </row>
    <row r="180" spans="6:10" ht="17.25" x14ac:dyDescent="0.25">
      <c r="F180" s="32"/>
      <c r="G180" s="34"/>
      <c r="H180" s="34"/>
      <c r="I180" s="35"/>
    </row>
    <row r="181" spans="6:10" ht="17.25" x14ac:dyDescent="0.25">
      <c r="F181" s="32"/>
      <c r="G181" s="36"/>
      <c r="H181" s="37"/>
      <c r="I181" s="38">
        <f>SUM(I175:I180)</f>
        <v>15644.837142857141</v>
      </c>
    </row>
    <row r="182" spans="6:10" ht="17.25" x14ac:dyDescent="0.25">
      <c r="F182" s="32"/>
      <c r="G182" s="34"/>
      <c r="H182" s="34"/>
      <c r="I182" s="35"/>
    </row>
    <row r="183" spans="6:10" ht="17.25" x14ac:dyDescent="0.25">
      <c r="F183" s="32"/>
      <c r="G183" s="36"/>
      <c r="H183" s="37"/>
      <c r="I183" s="35"/>
    </row>
    <row r="184" spans="6:10" ht="17.25" x14ac:dyDescent="0.25">
      <c r="F184" s="32"/>
      <c r="G184" s="34"/>
      <c r="H184" s="39"/>
      <c r="I184" s="35"/>
    </row>
    <row r="185" spans="6:10" ht="17.25" x14ac:dyDescent="0.25">
      <c r="F185" s="27">
        <v>8010</v>
      </c>
      <c r="G185" s="28" t="s">
        <v>44</v>
      </c>
      <c r="H185" s="29">
        <v>90</v>
      </c>
      <c r="I185" s="30">
        <f>J185*H185</f>
        <v>1260</v>
      </c>
      <c r="J185" s="31">
        <v>14</v>
      </c>
    </row>
    <row r="186" spans="6:10" ht="17.25" x14ac:dyDescent="0.25">
      <c r="F186" s="32"/>
      <c r="G186" s="33" t="s">
        <v>45</v>
      </c>
      <c r="H186" s="29">
        <v>90</v>
      </c>
      <c r="I186" s="30">
        <f t="shared" ref="I186:I189" si="18">J186*H186</f>
        <v>5656.5</v>
      </c>
      <c r="J186" s="31">
        <v>62.85</v>
      </c>
    </row>
    <row r="187" spans="6:10" ht="17.25" x14ac:dyDescent="0.25">
      <c r="F187" s="32"/>
      <c r="G187" s="33" t="s">
        <v>46</v>
      </c>
      <c r="H187" s="29">
        <v>90</v>
      </c>
      <c r="I187" s="30">
        <f t="shared" si="18"/>
        <v>72.55</v>
      </c>
      <c r="J187" s="31">
        <v>0.80611111111111111</v>
      </c>
    </row>
    <row r="188" spans="6:10" ht="17.25" x14ac:dyDescent="0.25">
      <c r="F188" s="32"/>
      <c r="G188" s="33" t="s">
        <v>47</v>
      </c>
      <c r="H188" s="29">
        <v>90</v>
      </c>
      <c r="I188" s="30">
        <f t="shared" si="18"/>
        <v>846.69999999999993</v>
      </c>
      <c r="J188" s="31">
        <v>9.4077777777777776</v>
      </c>
    </row>
    <row r="189" spans="6:10" ht="17.25" x14ac:dyDescent="0.25">
      <c r="F189" s="32"/>
      <c r="G189" s="33" t="s">
        <v>48</v>
      </c>
      <c r="H189" s="29">
        <v>90</v>
      </c>
      <c r="I189" s="30">
        <f t="shared" si="18"/>
        <v>5201.6142857142859</v>
      </c>
      <c r="J189" s="31">
        <v>57.795714285714283</v>
      </c>
    </row>
    <row r="190" spans="6:10" ht="17.25" x14ac:dyDescent="0.25">
      <c r="F190" s="32"/>
      <c r="G190" s="34"/>
      <c r="H190" s="34"/>
      <c r="I190" s="35"/>
    </row>
    <row r="191" spans="6:10" ht="17.25" x14ac:dyDescent="0.25">
      <c r="F191" s="32"/>
      <c r="G191" s="36"/>
      <c r="H191" s="37"/>
      <c r="I191" s="38">
        <f>SUM(I185:I190)</f>
        <v>13037.364285714286</v>
      </c>
    </row>
    <row r="192" spans="6:10" ht="17.25" x14ac:dyDescent="0.25">
      <c r="F192" s="32"/>
      <c r="G192" s="34"/>
      <c r="H192" s="34"/>
      <c r="I192" s="35"/>
    </row>
    <row r="193" spans="6:10" ht="17.25" x14ac:dyDescent="0.25">
      <c r="F193" s="32"/>
      <c r="G193" s="40"/>
      <c r="H193" s="34"/>
      <c r="I193" s="35"/>
    </row>
    <row r="194" spans="6:10" ht="17.25" x14ac:dyDescent="0.25">
      <c r="F194" s="27">
        <v>8011</v>
      </c>
      <c r="G194" s="28" t="s">
        <v>44</v>
      </c>
      <c r="H194" s="29">
        <v>100</v>
      </c>
      <c r="I194" s="30">
        <f>J194*H194</f>
        <v>1400</v>
      </c>
      <c r="J194" s="31">
        <v>14</v>
      </c>
    </row>
    <row r="195" spans="6:10" ht="17.25" x14ac:dyDescent="0.25">
      <c r="F195" s="32"/>
      <c r="G195" s="33" t="s">
        <v>45</v>
      </c>
      <c r="H195" s="29">
        <v>100</v>
      </c>
      <c r="I195" s="30">
        <f t="shared" ref="I195:I198" si="19">J195*H195</f>
        <v>6285</v>
      </c>
      <c r="J195" s="31">
        <v>62.85</v>
      </c>
    </row>
    <row r="196" spans="6:10" ht="17.25" x14ac:dyDescent="0.25">
      <c r="F196" s="32"/>
      <c r="G196" s="33" t="s">
        <v>46</v>
      </c>
      <c r="H196" s="29">
        <v>100</v>
      </c>
      <c r="I196" s="30">
        <f t="shared" si="19"/>
        <v>80.611111111111114</v>
      </c>
      <c r="J196" s="31">
        <v>0.80611111111111111</v>
      </c>
    </row>
    <row r="197" spans="6:10" ht="17.25" x14ac:dyDescent="0.25">
      <c r="F197" s="32"/>
      <c r="G197" s="33" t="s">
        <v>47</v>
      </c>
      <c r="H197" s="29">
        <v>100</v>
      </c>
      <c r="I197" s="30">
        <f t="shared" si="19"/>
        <v>940.77777777777771</v>
      </c>
      <c r="J197" s="31">
        <v>9.4077777777777776</v>
      </c>
    </row>
    <row r="198" spans="6:10" ht="17.25" x14ac:dyDescent="0.25">
      <c r="F198" s="32"/>
      <c r="G198" s="33" t="s">
        <v>48</v>
      </c>
      <c r="H198" s="29">
        <v>100</v>
      </c>
      <c r="I198" s="30">
        <f t="shared" si="19"/>
        <v>5779.5714285714284</v>
      </c>
      <c r="J198" s="31">
        <v>57.795714285714283</v>
      </c>
    </row>
    <row r="199" spans="6:10" ht="17.25" x14ac:dyDescent="0.25">
      <c r="F199" s="32"/>
      <c r="G199" s="34"/>
      <c r="H199" s="34"/>
      <c r="I199" s="35"/>
    </row>
    <row r="200" spans="6:10" ht="17.25" x14ac:dyDescent="0.25">
      <c r="F200" s="32"/>
      <c r="G200" s="36"/>
      <c r="H200" s="37"/>
      <c r="I200" s="38">
        <f>SUM(I194:I199)</f>
        <v>14485.960317460318</v>
      </c>
    </row>
    <row r="201" spans="6:10" ht="17.25" x14ac:dyDescent="0.25">
      <c r="F201" s="32"/>
      <c r="G201" s="34"/>
      <c r="H201" s="34"/>
      <c r="I201" s="35"/>
    </row>
    <row r="203" spans="6:10" ht="17.25" x14ac:dyDescent="0.25">
      <c r="F203" s="27">
        <v>8012</v>
      </c>
      <c r="G203" s="28" t="s">
        <v>44</v>
      </c>
      <c r="H203" s="29">
        <v>100</v>
      </c>
      <c r="I203" s="30">
        <f>J203*H203</f>
        <v>1400</v>
      </c>
      <c r="J203" s="31">
        <v>14</v>
      </c>
    </row>
    <row r="204" spans="6:10" ht="17.25" x14ac:dyDescent="0.25">
      <c r="F204" s="32"/>
      <c r="G204" s="33" t="s">
        <v>45</v>
      </c>
      <c r="H204" s="29">
        <v>100</v>
      </c>
      <c r="I204" s="30">
        <f t="shared" ref="I204:I207" si="20">J204*H204</f>
        <v>6285</v>
      </c>
      <c r="J204" s="31">
        <v>62.85</v>
      </c>
    </row>
    <row r="205" spans="6:10" ht="17.25" x14ac:dyDescent="0.25">
      <c r="F205" s="32"/>
      <c r="G205" s="33" t="s">
        <v>46</v>
      </c>
      <c r="H205" s="29">
        <v>100</v>
      </c>
      <c r="I205" s="30">
        <f t="shared" si="20"/>
        <v>80.611111111111114</v>
      </c>
      <c r="J205" s="31">
        <v>0.80611111111111111</v>
      </c>
    </row>
    <row r="206" spans="6:10" ht="17.25" x14ac:dyDescent="0.25">
      <c r="F206" s="32"/>
      <c r="G206" s="33" t="s">
        <v>47</v>
      </c>
      <c r="H206" s="29">
        <v>100</v>
      </c>
      <c r="I206" s="30">
        <f t="shared" si="20"/>
        <v>940.77777777777771</v>
      </c>
      <c r="J206" s="31">
        <v>9.4077777777777776</v>
      </c>
    </row>
    <row r="207" spans="6:10" ht="17.25" x14ac:dyDescent="0.25">
      <c r="F207" s="32"/>
      <c r="G207" s="33" t="s">
        <v>48</v>
      </c>
      <c r="H207" s="29">
        <v>100</v>
      </c>
      <c r="I207" s="30">
        <f t="shared" si="20"/>
        <v>5779.5714285714284</v>
      </c>
      <c r="J207" s="31">
        <v>57.795714285714283</v>
      </c>
    </row>
    <row r="208" spans="6:10" ht="17.25" x14ac:dyDescent="0.25">
      <c r="F208" s="32"/>
      <c r="G208" s="34"/>
      <c r="H208" s="34"/>
      <c r="I208" s="35"/>
    </row>
    <row r="209" spans="6:9" ht="17.25" x14ac:dyDescent="0.25">
      <c r="F209" s="32"/>
      <c r="G209" s="36"/>
      <c r="H209" s="37"/>
      <c r="I209" s="38">
        <f>SUM(I203:I208)</f>
        <v>14485.960317460318</v>
      </c>
    </row>
  </sheetData>
  <mergeCells count="122">
    <mergeCell ref="B40:I40"/>
    <mergeCell ref="Q40:Y40"/>
    <mergeCell ref="C38:F38"/>
    <mergeCell ref="G38:H38"/>
    <mergeCell ref="I38:L38"/>
    <mergeCell ref="M38:Q38"/>
    <mergeCell ref="S38:W38"/>
    <mergeCell ref="C37:F37"/>
    <mergeCell ref="G37:H37"/>
    <mergeCell ref="I37:K37"/>
    <mergeCell ref="M37:Q37"/>
    <mergeCell ref="S37:W37"/>
    <mergeCell ref="C36:F36"/>
    <mergeCell ref="G36:H36"/>
    <mergeCell ref="I36:K36"/>
    <mergeCell ref="M36:Q36"/>
    <mergeCell ref="S36:W36"/>
    <mergeCell ref="C35:F35"/>
    <mergeCell ref="G35:H35"/>
    <mergeCell ref="I35:K35"/>
    <mergeCell ref="M35:Q35"/>
    <mergeCell ref="S35:W35"/>
    <mergeCell ref="C34:F34"/>
    <mergeCell ref="G34:H34"/>
    <mergeCell ref="I34:K34"/>
    <mergeCell ref="M34:Q34"/>
    <mergeCell ref="S34:W34"/>
    <mergeCell ref="C33:F33"/>
    <mergeCell ref="G33:H33"/>
    <mergeCell ref="I33:K33"/>
    <mergeCell ref="M33:Q33"/>
    <mergeCell ref="S33:W33"/>
    <mergeCell ref="C32:F32"/>
    <mergeCell ref="G32:H32"/>
    <mergeCell ref="I32:K32"/>
    <mergeCell ref="M32:Q32"/>
    <mergeCell ref="S32:W32"/>
    <mergeCell ref="C31:F31"/>
    <mergeCell ref="G31:H31"/>
    <mergeCell ref="I31:K31"/>
    <mergeCell ref="M31:Q31"/>
    <mergeCell ref="S31:W31"/>
    <mergeCell ref="C30:F30"/>
    <mergeCell ref="G30:H30"/>
    <mergeCell ref="I30:K30"/>
    <mergeCell ref="M30:Q30"/>
    <mergeCell ref="S30:W30"/>
    <mergeCell ref="C29:F29"/>
    <mergeCell ref="G29:H29"/>
    <mergeCell ref="I29:K29"/>
    <mergeCell ref="M29:Q29"/>
    <mergeCell ref="S29:W29"/>
    <mergeCell ref="C28:F28"/>
    <mergeCell ref="G28:H28"/>
    <mergeCell ref="I28:K28"/>
    <mergeCell ref="M28:Q28"/>
    <mergeCell ref="S28:W28"/>
    <mergeCell ref="C27:F27"/>
    <mergeCell ref="G27:H27"/>
    <mergeCell ref="I27:K27"/>
    <mergeCell ref="M27:Q27"/>
    <mergeCell ref="S27:W27"/>
    <mergeCell ref="C26:F26"/>
    <mergeCell ref="G26:H26"/>
    <mergeCell ref="I26:K26"/>
    <mergeCell ref="M26:Q26"/>
    <mergeCell ref="S26:W26"/>
    <mergeCell ref="C25:F25"/>
    <mergeCell ref="G25:H25"/>
    <mergeCell ref="I25:K25"/>
    <mergeCell ref="M25:Q25"/>
    <mergeCell ref="S25:W25"/>
    <mergeCell ref="C24:F24"/>
    <mergeCell ref="G24:H24"/>
    <mergeCell ref="I24:K24"/>
    <mergeCell ref="M24:Q24"/>
    <mergeCell ref="S24:W24"/>
    <mergeCell ref="C23:F23"/>
    <mergeCell ref="G23:H23"/>
    <mergeCell ref="I23:K23"/>
    <mergeCell ref="M23:Q23"/>
    <mergeCell ref="S23:W23"/>
    <mergeCell ref="C22:F22"/>
    <mergeCell ref="G22:H22"/>
    <mergeCell ref="I22:K22"/>
    <mergeCell ref="M22:Q22"/>
    <mergeCell ref="S22:W22"/>
    <mergeCell ref="C21:F21"/>
    <mergeCell ref="G21:H21"/>
    <mergeCell ref="I21:K21"/>
    <mergeCell ref="M21:Q21"/>
    <mergeCell ref="S21:W21"/>
    <mergeCell ref="C20:F20"/>
    <mergeCell ref="G20:H20"/>
    <mergeCell ref="I20:K20"/>
    <mergeCell ref="M20:Q20"/>
    <mergeCell ref="S20:W20"/>
    <mergeCell ref="C19:F19"/>
    <mergeCell ref="G19:H19"/>
    <mergeCell ref="I19:K19"/>
    <mergeCell ref="M19:Q19"/>
    <mergeCell ref="S19:W19"/>
    <mergeCell ref="C18:F18"/>
    <mergeCell ref="G18:H18"/>
    <mergeCell ref="I18:K18"/>
    <mergeCell ref="M18:Q18"/>
    <mergeCell ref="S18:W18"/>
    <mergeCell ref="C17:F17"/>
    <mergeCell ref="G17:H17"/>
    <mergeCell ref="I17:K17"/>
    <mergeCell ref="M17:Q17"/>
    <mergeCell ref="S17:W17"/>
    <mergeCell ref="D8:AB8"/>
    <mergeCell ref="E10:AB10"/>
    <mergeCell ref="D12:Y12"/>
    <mergeCell ref="O14:AA15"/>
    <mergeCell ref="E15:M15"/>
    <mergeCell ref="F2:AB2"/>
    <mergeCell ref="D3:W3"/>
    <mergeCell ref="E4:Q4"/>
    <mergeCell ref="P6:U6"/>
    <mergeCell ref="W6:AA6"/>
  </mergeCells>
  <pageMargins left="7.8740157480315001E-2" right="7.8740157480315001E-2" top="7.8740157480315001E-2" bottom="7.8740157480315001E-2" header="7.8740157480315001E-2" footer="7.8740157480315001E-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PD_AnexoIII</vt:lpstr>
      <vt:lpstr>PD_AnexoIII!Área_de_impresión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Paz Mallea</dc:creator>
  <cp:lastModifiedBy>Maria Paz Mallea</cp:lastModifiedBy>
  <cp:lastPrinted>2026-10-07T12:59:48Z</cp:lastPrinted>
  <dcterms:created xsi:type="dcterms:W3CDTF">2026-10-07T13:00:29Z</dcterms:created>
  <dcterms:modified xsi:type="dcterms:W3CDTF">2026-10-07T13:06:27Z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